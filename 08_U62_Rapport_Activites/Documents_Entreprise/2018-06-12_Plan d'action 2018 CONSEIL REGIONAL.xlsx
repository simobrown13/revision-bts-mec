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filterPrivacy="1" defaultThemeVersion="124226"/>
  <xr:revisionPtr revIDLastSave="0" documentId="13_ncr:1_{762BDE5D-96A3-4E30-B8F7-40A1D05DEF0D}" xr6:coauthVersionLast="28" xr6:coauthVersionMax="28" xr10:uidLastSave="{00000000-0000-0000-0000-000000000000}"/>
  <bookViews>
    <workbookView xWindow="480" yWindow="300" windowWidth="18495" windowHeight="11700" activeTab="3" xr2:uid="{00000000-000D-0000-FFFF-FFFF00000000}"/>
  </bookViews>
  <sheets>
    <sheet name="Plan d'action 2018 " sheetId="1" r:id="rId1"/>
    <sheet name="Feuil2" sheetId="3" r:id="rId2"/>
    <sheet name="Feuil1" sheetId="2" r:id="rId3"/>
    <sheet name="Feuil3" sheetId="4" r:id="rId4"/>
  </sheets>
  <calcPr calcId="171027"/>
</workbook>
</file>

<file path=xl/calcChain.xml><?xml version="1.0" encoding="utf-8"?>
<calcChain xmlns="http://schemas.openxmlformats.org/spreadsheetml/2006/main">
  <c r="H113" i="4" l="1"/>
  <c r="B116" i="4" l="1"/>
  <c r="B112" i="4"/>
  <c r="B111" i="4"/>
  <c r="B109" i="4"/>
  <c r="H100" i="4"/>
  <c r="H92" i="4"/>
  <c r="H71" i="4"/>
  <c r="H54" i="4"/>
  <c r="H107" i="4" s="1"/>
  <c r="H108" i="4" s="1"/>
  <c r="H109" i="4" s="1"/>
  <c r="H110" i="4" s="1"/>
  <c r="H15" i="4"/>
  <c r="B110" i="4" l="1"/>
  <c r="B117" i="4" s="1"/>
  <c r="H100" i="2"/>
  <c r="H92" i="2"/>
  <c r="H71" i="2"/>
  <c r="H54" i="2"/>
  <c r="H111" i="2" s="1"/>
  <c r="H112" i="2" s="1"/>
  <c r="I58" i="3"/>
  <c r="I52" i="3"/>
  <c r="I42" i="3"/>
  <c r="I33" i="3"/>
  <c r="I57" i="3"/>
  <c r="I51" i="3"/>
  <c r="I46" i="3"/>
  <c r="I41" i="3"/>
  <c r="I38" i="3"/>
  <c r="I39" i="3" s="1"/>
  <c r="I25" i="3"/>
  <c r="I32" i="3" s="1"/>
  <c r="I24" i="3"/>
  <c r="I11" i="3"/>
  <c r="I16" i="3" s="1"/>
  <c r="I55" i="1"/>
  <c r="H15" i="2"/>
  <c r="I59" i="3" l="1"/>
  <c r="I11" i="1" l="1"/>
  <c r="I137" i="1"/>
  <c r="I125" i="1"/>
  <c r="I119" i="1"/>
  <c r="I114" i="1"/>
  <c r="I81" i="1"/>
  <c r="I76" i="1"/>
  <c r="I74" i="1"/>
  <c r="I47" i="1"/>
  <c r="I32" i="1"/>
  <c r="H137" i="1"/>
  <c r="I120" i="1" l="1"/>
  <c r="I138" i="1"/>
  <c r="I38" i="1"/>
  <c r="K253" i="1"/>
  <c r="I69" i="1"/>
  <c r="I70" i="1" s="1"/>
  <c r="I77" i="1" s="1"/>
  <c r="I56" i="1" l="1"/>
  <c r="I63" i="1" s="1"/>
  <c r="I64" i="1" l="1"/>
  <c r="I139" i="1" s="1"/>
  <c r="L302" i="1" s="1"/>
  <c r="L70" i="1"/>
  <c r="L304" i="1" l="1"/>
</calcChain>
</file>

<file path=xl/sharedStrings.xml><?xml version="1.0" encoding="utf-8"?>
<sst xmlns="http://schemas.openxmlformats.org/spreadsheetml/2006/main" count="1822" uniqueCount="390">
  <si>
    <t>Province</t>
  </si>
  <si>
    <t>Secteur</t>
  </si>
  <si>
    <t>Commune</t>
  </si>
  <si>
    <t>Douars Desservis</t>
  </si>
  <si>
    <t>Intitulé Projet</t>
  </si>
  <si>
    <t>Linieaire</t>
  </si>
  <si>
    <t>Nature  Intervention (Consistance physique)</t>
  </si>
  <si>
    <t>Bénéficiares</t>
  </si>
  <si>
    <t>C.REGIONAL</t>
  </si>
  <si>
    <t>Béni Mellal</t>
  </si>
  <si>
    <t>ROUTES ET PISTES</t>
  </si>
  <si>
    <t>CONSTRUCTION</t>
  </si>
  <si>
    <t>AGHBALA</t>
  </si>
  <si>
    <t>SEMGUET</t>
  </si>
  <si>
    <t>SIDI JABER</t>
  </si>
  <si>
    <t>Taadlounte-Boattas</t>
  </si>
  <si>
    <t>Construction sur 14 Km</t>
  </si>
  <si>
    <t>Rp3200 -Ait Rouadi-</t>
  </si>
  <si>
    <t>Construction  sur 15 Km</t>
  </si>
  <si>
    <t>AMENAGEMENT</t>
  </si>
  <si>
    <t>TOTAL  ROUTES ET PISTES</t>
  </si>
  <si>
    <t>ELECTRIFICATION</t>
  </si>
  <si>
    <t>TIZI N'ISLY</t>
  </si>
  <si>
    <t>AMOUGUER 2</t>
  </si>
  <si>
    <t>Electrification Rurale</t>
  </si>
  <si>
    <t>Branchement MT + PT + Réseau BT</t>
  </si>
  <si>
    <t>OUIRINE</t>
  </si>
  <si>
    <t>AZAGHARFAR</t>
  </si>
  <si>
    <t>TADAOUT NOUHANOU</t>
  </si>
  <si>
    <t>TARGIOUINE</t>
  </si>
  <si>
    <t>HAMRI 1 (EXBT)</t>
  </si>
  <si>
    <t>OULED YAICH</t>
  </si>
  <si>
    <t>LAKRAKB (EXBT)</t>
  </si>
  <si>
    <t>LAMLIAB 2</t>
  </si>
  <si>
    <t>FOUM EL ANCEUR</t>
  </si>
  <si>
    <t>IGHARGHAR</t>
  </si>
  <si>
    <t>OULOUOU</t>
  </si>
  <si>
    <t>TILIOUINE</t>
  </si>
  <si>
    <t>DIR EL KSIBA</t>
  </si>
  <si>
    <t>TOURTITE (EXBT)</t>
  </si>
  <si>
    <t>BOUTFERDA</t>
  </si>
  <si>
    <t>AGUERD NOUADOU</t>
  </si>
  <si>
    <t>AIT OUM EL BEKHT</t>
  </si>
  <si>
    <t>HJIRAT RBAT</t>
  </si>
  <si>
    <t>MIKHAOUAN (EXBT)</t>
  </si>
  <si>
    <t>TAKBALTE</t>
  </si>
  <si>
    <t>IGR NBAOUN</t>
  </si>
  <si>
    <t>TACHAKT</t>
  </si>
  <si>
    <t>BOUCHIRANE OUMICHA</t>
  </si>
  <si>
    <t>Diverses Communes</t>
  </si>
  <si>
    <t>Divers Douars</t>
  </si>
  <si>
    <t xml:space="preserve">Extension </t>
  </si>
  <si>
    <t>Extension réseau BT</t>
  </si>
  <si>
    <t>TOTAL ELECTRIFICATION</t>
  </si>
  <si>
    <t>EAU POTABLE</t>
  </si>
  <si>
    <t>Divers douars</t>
  </si>
  <si>
    <t>ETUDES + DEGAGEMENT DES RESSOURCES</t>
  </si>
  <si>
    <t>Oumicha, Tissoudal, Tisty, Bouattas, 
Bouidmouma, Bouyadder,  Aghbalou N’Omar, Amagour Tassbalbalt,
Tit N'Blal, Bouigra, Oumza Ait Zaakari, Amalou N’Ait Abbou, Taghouchte N’Alamsid, Oumza (Aghbalou Nougarram), 
Wants, Ikassene, Agard Nbarchomouha, Ait Khi</t>
  </si>
  <si>
    <t>Aep Par Bf (Complément)</t>
  </si>
  <si>
    <t>EQUIPEMENT ADDUCTION ET BF</t>
  </si>
  <si>
    <t>Fourniture, Transport Et Pose De Conduite En  Pehd Et Pvc, Dn Variant De 63 À 160Mm Avec Réalisation De Branchement Individuels.</t>
  </si>
  <si>
    <t>EXTENSION RESEAU D'ADDUCTION</t>
  </si>
  <si>
    <t>Boutferda Centre; Tingaref;Tafraout;Takherkhedat;Boumia;Iriran;Taghzout</t>
  </si>
  <si>
    <t>FOUM OUDI</t>
  </si>
  <si>
    <t>Foum Oudi Rural</t>
  </si>
  <si>
    <t>Fourniture, Transport Et Pose De Conduite En  Pehd Et Pvc, Avec Réalisation De Branchement Individuels.</t>
  </si>
  <si>
    <t>TOTAL EAU POTABLE</t>
  </si>
  <si>
    <t>DIVERSES COMMUNES</t>
  </si>
  <si>
    <t>ETUDES</t>
  </si>
  <si>
    <t>AZILAL</t>
  </si>
  <si>
    <t>IMLIL</t>
  </si>
  <si>
    <t>AZLAK  - AMKIKER</t>
  </si>
  <si>
    <t>CONTRUCTION  ROUTE AZLAK  PAR AMKIKER SOUR ELA AZ SUR 8KM</t>
  </si>
  <si>
    <t>TILLOUGUITE</t>
  </si>
  <si>
    <t>DOUAR AIT YACOUB</t>
  </si>
  <si>
    <t>R'FALA</t>
  </si>
  <si>
    <t>DOUAR BOUAZIER</t>
  </si>
  <si>
    <t>TABAROUCHTEE</t>
  </si>
  <si>
    <t>RR306  - CR TABAROUCHTE</t>
  </si>
  <si>
    <t>AIT MAZIGH</t>
  </si>
  <si>
    <t xml:space="preserve">AIT BAKHOUCH-AIT BRAHIM-TAGOUNIT NOUFELA-CENTRE AIT MAZIGH -AIT AISSA OUYECHOU </t>
  </si>
  <si>
    <t>TABIA</t>
  </si>
  <si>
    <t xml:space="preserve">CENTRE TISLITE ET DOUAR TABIA TIZOUKENNATINE AIT SALLAM </t>
  </si>
  <si>
    <t>TIFNI</t>
  </si>
  <si>
    <t>ALAMSA-TISINAS</t>
  </si>
  <si>
    <t>-</t>
  </si>
  <si>
    <t>ETUDES TECHNIQUES ET SUIVI</t>
  </si>
  <si>
    <t>TOTAL ROUTES ET PISTES</t>
  </si>
  <si>
    <t>Electrification</t>
  </si>
  <si>
    <t>AIT TAGUELLA</t>
  </si>
  <si>
    <t>TABIYOUINE</t>
  </si>
  <si>
    <t>ANERGUI</t>
  </si>
  <si>
    <t>KOUSSER</t>
  </si>
  <si>
    <t>TAMDA NOUMERCID</t>
  </si>
  <si>
    <t>TAMGANT (EXT)</t>
  </si>
  <si>
    <t>TILOUGGUITE</t>
  </si>
  <si>
    <t>TIFERT KOURTE</t>
  </si>
  <si>
    <t>ASSAMER ADANDOUNE</t>
  </si>
  <si>
    <t>OUAOULA</t>
  </si>
  <si>
    <t>TISQUIMA (EXBT)</t>
  </si>
  <si>
    <t>Divers foyers</t>
  </si>
  <si>
    <t>TOTAL Electrification</t>
  </si>
  <si>
    <t>AEP</t>
  </si>
  <si>
    <t>ZAOUIT AHNSAL</t>
  </si>
  <si>
    <t>DOUAR  TINATAMINE A AIT ABDI</t>
  </si>
  <si>
    <t>AEP DOUAR  TINATAMINE A AIT ABDI</t>
  </si>
  <si>
    <t>BNI AYATT</t>
  </si>
  <si>
    <t>LAAOUINA</t>
  </si>
  <si>
    <t>AEP DOUAR LAAOUINA</t>
  </si>
  <si>
    <t>DOUAR  TAMDARKOUTE A AIT ABDI</t>
  </si>
  <si>
    <t>AEP DOUAR TAMDARKOUTE</t>
  </si>
  <si>
    <t xml:space="preserve">AIT OUAHI -AIT SSIMOUR </t>
  </si>
  <si>
    <t xml:space="preserve">EQUIPEMENT PUITS AIT SIMOUR ET AIT OUAHI EN SYSTÈME PHOTO VOLTAIQUE  AIT OUAHI -AIT ISSIMOUR </t>
  </si>
  <si>
    <t>ANZOU</t>
  </si>
  <si>
    <t>DOUAR  TALKOUNTE</t>
  </si>
  <si>
    <t>CREUSEMENT D’UN FORAGE</t>
  </si>
  <si>
    <t>CREUSEMENT FORAGE</t>
  </si>
  <si>
    <t>BZOU</t>
  </si>
  <si>
    <t>TAMKDIT</t>
  </si>
  <si>
    <t>AEP DU DOUAR TAMKDIT</t>
  </si>
  <si>
    <t>AEP DOUAR GUELZAMT</t>
  </si>
  <si>
    <t>AEP DU DOUAR GUALZIMT</t>
  </si>
  <si>
    <r>
      <t xml:space="preserve">OUVERTURE PISTE RELIANT PISTE ANERGUI ET ASSEMAR SUR UNE LONGUEUR DE </t>
    </r>
    <r>
      <rPr>
        <b/>
        <sz val="10"/>
        <color indexed="8"/>
        <rFont val="Times New Roman"/>
        <family val="1"/>
      </rPr>
      <t>10 KM</t>
    </r>
  </si>
  <si>
    <r>
      <t xml:space="preserve">CONSTRUCTION DE LA PISTE RELIANT LA RN8 ET DOUAR BOUAZIER SUR </t>
    </r>
    <r>
      <rPr>
        <b/>
        <sz val="10"/>
        <color indexed="8"/>
        <rFont val="Times New Roman"/>
        <family val="1"/>
      </rPr>
      <t>3,6KM</t>
    </r>
  </si>
  <si>
    <r>
      <t xml:space="preserve">CONSTRUCTION DE LA ROUTE NC SUR </t>
    </r>
    <r>
      <rPr>
        <b/>
        <sz val="10"/>
        <color indexed="8"/>
        <rFont val="Times New Roman"/>
        <family val="1"/>
      </rPr>
      <t xml:space="preserve">20 KM </t>
    </r>
    <r>
      <rPr>
        <sz val="10"/>
        <color indexed="8"/>
        <rFont val="Times New Roman"/>
        <family val="1"/>
      </rPr>
      <t xml:space="preserve">ENTRE RR 306 - TABAROUCHTE PAR TAGNARIOUT </t>
    </r>
    <r>
      <rPr>
        <b/>
        <sz val="10"/>
        <color indexed="8"/>
        <rFont val="Times New Roman"/>
        <family val="1"/>
      </rPr>
      <t>(1ère tranche</t>
    </r>
    <r>
      <rPr>
        <sz val="10"/>
        <color indexed="8"/>
        <rFont val="Times New Roman"/>
        <family val="1"/>
      </rPr>
      <t>)</t>
    </r>
  </si>
  <si>
    <r>
      <t xml:space="preserve">AMENAGEMENT DE LA PISTE RELIANT AIT BAKHOUCH-AIT BRAHIM </t>
    </r>
    <r>
      <rPr>
        <b/>
        <sz val="10"/>
        <color indexed="8"/>
        <rFont val="Times New Roman"/>
        <family val="1"/>
      </rPr>
      <t>(7km)</t>
    </r>
    <r>
      <rPr>
        <sz val="10"/>
        <color indexed="8"/>
        <rFont val="Times New Roman"/>
        <family val="1"/>
      </rPr>
      <t xml:space="preserve"> ET OUVERTURE ET AMENAGEMENT PISTE TAGOUNIT NOUFELLA ET AIT BRAHIM  Y/C CONSTRUCTION D'UN OUVRAGE D'ART</t>
    </r>
  </si>
  <si>
    <r>
      <t>CONSTRUCTION DE LA  PISTE RELIANT CENTRE TISLITE  ET DOUAR TABIA VIA TIZOUKENNATINE AIT SALLAM</t>
    </r>
    <r>
      <rPr>
        <b/>
        <sz val="10"/>
        <color indexed="8"/>
        <rFont val="Times New Roman"/>
        <family val="1"/>
      </rPr>
      <t xml:space="preserve"> 12 KM</t>
    </r>
  </si>
  <si>
    <r>
      <t>AMENAGEMENT PISTE :ALAMSA-TISINAS-</t>
    </r>
    <r>
      <rPr>
        <b/>
        <sz val="10"/>
        <color indexed="8"/>
        <rFont val="Times New Roman"/>
        <family val="1"/>
      </rPr>
      <t>6KM</t>
    </r>
  </si>
  <si>
    <t>FQUIH BEN SALAH</t>
  </si>
  <si>
    <t>DAR OLD ZIDOUH</t>
  </si>
  <si>
    <t>BIR GDIH,RAHALA,OULED ALI M'HAMED</t>
  </si>
  <si>
    <t>Construction de la piste reliant BIR GDIH,RAHALA,OULED ALI M'HAMED et DAR OLD ZIDOUH sur 7,5 km</t>
  </si>
  <si>
    <t>OULED BOURAHMOUNE</t>
  </si>
  <si>
    <t>ouled si blghayte ,ouled bourahmoune</t>
  </si>
  <si>
    <t>Construction de la piste  reliant ouled si blghayte ,ouled bourahmoune et OULED BOURAHMOUNE sur 4 km</t>
  </si>
  <si>
    <t>Lhlaf, Ait Ghanem, Od Mhamed, Qdidrat, Lmgharir et Od Sliman</t>
  </si>
  <si>
    <t>Construction de la piste reliant Lhlaf, Ait Ghanem, Od Mhamed, Qdidrat, Lmgharir et Od Sliman et DAR OLD ZIDOUH sur 3 km</t>
  </si>
  <si>
    <t>Ouled Naceur</t>
  </si>
  <si>
    <t xml:space="preserve">lbaara ,od iloul </t>
  </si>
  <si>
    <t>Construction de la piste reliant lbaara ,od iloul  et Ouled Naceur sur 2 km</t>
  </si>
  <si>
    <t>ouled zmam</t>
  </si>
  <si>
    <t xml:space="preserve">cotma ,ouled mrah, ouled smida,ngar </t>
  </si>
  <si>
    <t>Construction de la piste reliant cotma ,ouled mrah, ouled smida,ngar  et ouled zmam sur 7 km</t>
  </si>
  <si>
    <t>BRADIA</t>
  </si>
  <si>
    <t>ERHILIA OULED ALI</t>
  </si>
  <si>
    <t>KRIFATE</t>
  </si>
  <si>
    <t>GROUPEMENT SATIFI</t>
  </si>
  <si>
    <t>DIVERS DOUARS</t>
  </si>
  <si>
    <t>EXTENSION</t>
  </si>
  <si>
    <t>EXTENSION RESEAU BT</t>
  </si>
  <si>
    <t>Alimentation et ou adduction en eau potable</t>
  </si>
  <si>
    <t>bradia</t>
  </si>
  <si>
    <t>ouled ali</t>
  </si>
  <si>
    <t>fourniture , transport et pose  de conduite de distribution  TRANCHE 1</t>
  </si>
  <si>
    <t>Total Piste et routes FBS</t>
  </si>
  <si>
    <t>Total Electrification FBS</t>
  </si>
  <si>
    <t>Total AEP FBS</t>
  </si>
  <si>
    <t>KHENIFRA</t>
  </si>
  <si>
    <t>Construction</t>
  </si>
  <si>
    <t>Aguelmam Azegza</t>
  </si>
  <si>
    <t>Jnan Imas+Ait Bouhemad+Talhenat+Tachabout+Tafarnant</t>
  </si>
  <si>
    <t>Construction Liaison Tamelakt/Afelector</t>
  </si>
  <si>
    <t>El Borj+Aguelmous</t>
  </si>
  <si>
    <t>Sabra+Ihebarne+Ait Maia</t>
  </si>
  <si>
    <t>Construction Sabra RN8 /RR712. (1ère tranche)</t>
  </si>
  <si>
    <t>Sidi Amer+Aguelmous</t>
  </si>
  <si>
    <t>Ihabarne+Arourou Izeri+Tizi</t>
  </si>
  <si>
    <t>Construction de la liaison Sidi Amer /Taratessa. (1ère tranche)</t>
  </si>
  <si>
    <t>OUM RABIA</t>
  </si>
  <si>
    <t xml:space="preserve">TOTAL  ROUTES ET PISTES </t>
  </si>
  <si>
    <t>AGUELMAN AZEGZA</t>
  </si>
  <si>
    <t>AFELKTOUR (NORD)</t>
  </si>
  <si>
    <t>AKBA</t>
  </si>
  <si>
    <t>BOUSSADER</t>
  </si>
  <si>
    <t>AGUELMOUS</t>
  </si>
  <si>
    <t>TANNAIFOUTE</t>
  </si>
  <si>
    <t>ADAR OUHEMMOUD (2)</t>
  </si>
  <si>
    <t>AIT ISHAQ</t>
  </si>
  <si>
    <t>TANKOUAIT AIT M'HAND</t>
  </si>
  <si>
    <t>BOULEMIOUZ</t>
  </si>
  <si>
    <t>TAGNIT</t>
  </si>
  <si>
    <t>BOUKHEBZA</t>
  </si>
  <si>
    <t>BOUIBENGHAR</t>
  </si>
  <si>
    <t>AMSDEL</t>
  </si>
  <si>
    <t>SEHB AARAB</t>
  </si>
  <si>
    <t>AMDGHOUS</t>
  </si>
  <si>
    <t>TOUMLILINE</t>
  </si>
  <si>
    <t>BOUHARRA (3)</t>
  </si>
  <si>
    <t>EL BORJ</t>
  </si>
  <si>
    <t>TFRANTE TAMSAOUTE (EXBT)</t>
  </si>
  <si>
    <t>RAHMOUNE (EXBT)</t>
  </si>
  <si>
    <t>BOUIJIMANE KZIZ (EXBT°</t>
  </si>
  <si>
    <t>LEHRI</t>
  </si>
  <si>
    <t>BOUGUERGOUR 2</t>
  </si>
  <si>
    <t>OUAOUMANA</t>
  </si>
  <si>
    <t>BOUSEKOUR (EXT-BT)</t>
  </si>
  <si>
    <t>AHMAR</t>
  </si>
  <si>
    <t>BOUIOUZZANE+</t>
  </si>
  <si>
    <t>AGHBAL AKASSOUATHE</t>
  </si>
  <si>
    <t>TICHROUBA</t>
  </si>
  <si>
    <t>LAHROUCH AIT YAHYI</t>
  </si>
  <si>
    <t>SIDI AMAR</t>
  </si>
  <si>
    <t>BOUCHOUHART</t>
  </si>
  <si>
    <t>SIDI LAMINE</t>
  </si>
  <si>
    <t>MOUBAJI</t>
  </si>
  <si>
    <t>TISKRAME DOUILIA</t>
  </si>
  <si>
    <t>TISKRAME SOUFLA</t>
  </si>
  <si>
    <t>SIDI YAHIA OU SAAD</t>
  </si>
  <si>
    <t>AKNAOUNE (EXBT)</t>
  </si>
  <si>
    <t>TIGHASSALINE</t>
  </si>
  <si>
    <t>TNARTENE</t>
  </si>
  <si>
    <t>HAD BOUHSSOUSSEN, Sidi Amar, Sdi Lamine, Aguelmous, El Hammam, El Borj, Ait Ishaq, Tighssaline et Moha Ouhammou Zayani, Sebt Ait rahou</t>
  </si>
  <si>
    <t>Douars concernés par l'AEP dans les  communes concernées</t>
  </si>
  <si>
    <t>Dégagement de  la ressource</t>
  </si>
  <si>
    <t>Réalisation de forages de reconnaissance</t>
  </si>
  <si>
    <t>Sebt ait rahou</t>
  </si>
  <si>
    <t>Ait azouz(kraa dib+ait boukhayou)</t>
  </si>
  <si>
    <t>AEP du douar par creusement et équipement  puits</t>
  </si>
  <si>
    <t>Réalisation du SAEP (puits-réservoir-conduites-équipement+BF</t>
  </si>
  <si>
    <t>Tighassaline</t>
  </si>
  <si>
    <t>Tifratine</t>
  </si>
  <si>
    <t>Ait ishaq</t>
  </si>
  <si>
    <t>Ait daoud</t>
  </si>
  <si>
    <t>Réalisation de 02 puits</t>
  </si>
  <si>
    <t>Khouribga</t>
  </si>
  <si>
    <t xml:space="preserve">Routes et pistes </t>
  </si>
  <si>
    <t xml:space="preserve">Aménagement et construction des pistes </t>
  </si>
  <si>
    <t xml:space="preserve">Construction </t>
  </si>
  <si>
    <t>M'fassis</t>
  </si>
  <si>
    <t xml:space="preserve">Ouled Boauazza Ben Guassem </t>
  </si>
  <si>
    <t xml:space="preserve">Chougrane </t>
  </si>
  <si>
    <t xml:space="preserve">RP 3527 PK 30 par Rouanouna - Ait Boumtit Jriat </t>
  </si>
  <si>
    <t xml:space="preserve">Boukhriss </t>
  </si>
  <si>
    <t>Sidi Lamine P 3512 PK 28</t>
  </si>
  <si>
    <t xml:space="preserve">Béni batao </t>
  </si>
  <si>
    <t>Ecole Lagssiaâ par Lebssibissa et Hammam</t>
  </si>
  <si>
    <t>FOKRA</t>
  </si>
  <si>
    <t>LAHLASSA BIAR LAHBABIS (EXBT)</t>
  </si>
  <si>
    <t>SMAMDA (EXBT)</t>
  </si>
  <si>
    <t>BNI ZRANTEL</t>
  </si>
  <si>
    <t>TABOUDA</t>
  </si>
  <si>
    <t>OULAD ABDOUNE</t>
  </si>
  <si>
    <t>OULED CHEIKH ALI</t>
  </si>
  <si>
    <t>MRAHNA TOUIL (3)</t>
  </si>
  <si>
    <t>OULAD BOUGHADI</t>
  </si>
  <si>
    <t>BIR DAFLA</t>
  </si>
  <si>
    <t>OD KHIL OD SGHAYR</t>
  </si>
  <si>
    <t>OULAD FENNANE</t>
  </si>
  <si>
    <t>HJIRA (EXBT)+</t>
  </si>
  <si>
    <t>DWIMIA (EXT)+</t>
  </si>
  <si>
    <t>TACHRAFAT</t>
  </si>
  <si>
    <t>MCHAHRA CHBALA</t>
  </si>
  <si>
    <t xml:space="preserve">Divers Douars </t>
  </si>
  <si>
    <t xml:space="preserve">TOTAL Routes et pistes </t>
  </si>
  <si>
    <t xml:space="preserve">TOTAL </t>
  </si>
  <si>
    <t>TOTAL</t>
  </si>
  <si>
    <r>
      <rPr>
        <sz val="20"/>
        <color indexed="10"/>
        <rFont val="Calibri"/>
        <family val="2"/>
      </rPr>
      <t xml:space="preserve">                                              ROYAUME DU MAROC</t>
    </r>
    <r>
      <rPr>
        <sz val="20"/>
        <color indexed="8"/>
        <rFont val="Calibri"/>
        <family val="2"/>
      </rPr>
      <t xml:space="preserve">
                                         </t>
    </r>
    <r>
      <rPr>
        <sz val="20"/>
        <color indexed="57"/>
        <rFont val="Calibri"/>
        <family val="2"/>
      </rPr>
      <t>MINISTERE DE L'INTERIEUR</t>
    </r>
    <r>
      <rPr>
        <sz val="20"/>
        <color indexed="8"/>
        <rFont val="Calibri"/>
        <family val="2"/>
      </rPr>
      <t xml:space="preserve">
                                   WILAYA REGION BENI MELLAL-KHENIFRA</t>
    </r>
    <r>
      <rPr>
        <b/>
        <u/>
        <sz val="20"/>
        <color indexed="8"/>
        <rFont val="Calibri"/>
        <family val="2"/>
      </rPr>
      <t xml:space="preserve">
PROGRAMME DE REDUCTION DES DISPARITES TERRITORIALES ET SOCIALES EN MILIEU RURAL 
</t>
    </r>
    <r>
      <rPr>
        <b/>
        <u/>
        <sz val="20"/>
        <color rgb="FFFF0000"/>
        <rFont val="Calibri"/>
        <family val="2"/>
      </rPr>
      <t>OPERATIONS PROGRAMEES POUR L'ANNEE 2018 - CONSEIL REGIONAL BENI MELLAL KHENIFRA -</t>
    </r>
  </si>
  <si>
    <t>TOTAL GENERAL</t>
  </si>
  <si>
    <t>Année</t>
  </si>
  <si>
    <t>Mission</t>
  </si>
  <si>
    <t>Intitulé du projet</t>
  </si>
  <si>
    <t>Routes et pistes</t>
  </si>
  <si>
    <t>Etude, assistance technique et suivi</t>
  </si>
  <si>
    <t>Construction sur 15 Km</t>
  </si>
  <si>
    <t>BENI MELLAL</t>
  </si>
  <si>
    <t>GUETTAYA</t>
  </si>
  <si>
    <t xml:space="preserve">Rn8-Rp3204  </t>
  </si>
  <si>
    <t>Construction sur 10,8 Km</t>
  </si>
  <si>
    <t>Boutferda Centre; Tingaref; Tafraout; Takherkhedat ;Boumia;Iriran ;Taghzout</t>
  </si>
  <si>
    <t>Assistance technique et suivi</t>
  </si>
  <si>
    <t xml:space="preserve">Oumicha, Tissoudal, Tisty, Bouattas, </t>
  </si>
  <si>
    <t>Bouidmouma, Bouyadder,  Aghbalou N’Omar, Amagour Tassbalbalt,</t>
  </si>
  <si>
    <t xml:space="preserve">Tit N'Blal, Bouigra, Oumza Ait Zaakari, Amalou N’Ait Abbou, Taghouchte N’Alamsid, Oumza (Aghbalou Nougarram), </t>
  </si>
  <si>
    <t>Wants, Ikassene, Agard Nbarchomouha, Ait Khi</t>
  </si>
  <si>
    <t>TANOUGHA</t>
  </si>
  <si>
    <t>Ait Abbou/Ait Aissa Oulhsen/Ait Ali Iyaakoub/ Taghrbint/Ait Ali Ohami/Ikhourba/Ait Ali Oubrahim/Ait Assou/Ait Ben Ohmad/Ait Daoud /Ait Driss/Ait Haqi/Ait Hdiddo/Ait Hssein Oaissa/Ait Ichok Ousaid/Ait Ichou/Ait Ichou Omoussa/Ait Khbouza/Ait Otahssin/Ait Othman/Ait Ouaziz/Iankar</t>
  </si>
  <si>
    <t>Extension De Réseau Et Aep Par Bi</t>
  </si>
  <si>
    <t>Production, équipements, Réseau et Aep Par Bi</t>
  </si>
  <si>
    <t>Montant</t>
  </si>
  <si>
    <t xml:space="preserve">TOTAL  </t>
  </si>
  <si>
    <t xml:space="preserve">Total </t>
  </si>
  <si>
    <t xml:space="preserve">Construction route Azlak par Amkiker Sour El Aza sur 8 Km </t>
  </si>
  <si>
    <t>Ouverture piste reliant piste Anergui et Assemar sur une longueur de 10 Km</t>
  </si>
  <si>
    <t>Construction de la piste reliant la RN8 et douar Bouazier sur 3.6 Km</t>
  </si>
  <si>
    <r>
      <t>Construction de la route NC sur 20 Km entre RR 306 – Tabaroucht par Tagnariout ( 1</t>
    </r>
    <r>
      <rPr>
        <vertAlign val="superscript"/>
        <sz val="10"/>
        <color rgb="FF000000"/>
        <rFont val="Times New Roman"/>
        <family val="1"/>
      </rPr>
      <t>er</t>
    </r>
    <r>
      <rPr>
        <sz val="10"/>
        <color rgb="FF000000"/>
        <rFont val="Times New Roman"/>
        <family val="1"/>
      </rPr>
      <t xml:space="preserve"> tranche)</t>
    </r>
  </si>
  <si>
    <t>Aménagement de la piste reliant Ait Bakhouch – Ait Brahim ( 7 Km ) et ouverture et aménagement piste Tagounit Noufella et Ait Brahim y/c construction d’un ouvrage d’art</t>
  </si>
  <si>
    <t>Construction de la piste reliant centre Tislite et douar Tabia via Tizoukennatine Ait Sallam 12 Km</t>
  </si>
  <si>
    <t>Aménagement piste Alamsa – Tisinas (6Km )</t>
  </si>
  <si>
    <t>CONSTRUCTION DE LA ROUTE NC SUR 20 KM ENTRE RR 306 - TABAROUCHTE PAR TAGNARIOUT (2ème tranche)</t>
  </si>
  <si>
    <t>CONSTRUCTION ROUTE RELIANT LAC BINE ELOUIDANE ET CENTRE AIT MAZEIGH VIA AIT AISSA OUYECHOU (5km)</t>
  </si>
  <si>
    <t>AIT MAJDEN</t>
  </si>
  <si>
    <t>FRACTION KEROUAL</t>
  </si>
  <si>
    <t>CONSTRUCTION DE LA ROUTE RELIANT FRACTION KEROUAL A LA CT IMLIL SUR UNE LONGUEUR DE 25 KM</t>
  </si>
  <si>
    <t xml:space="preserve"> AZILAL</t>
  </si>
  <si>
    <t>AIT BLAL</t>
  </si>
  <si>
    <t>DOUAR AIT LBOUR</t>
  </si>
  <si>
    <t>CONSTRUCTION D’UN DALOT DE (15.00*8.00*10*00) SUR OUED EL MELLAH</t>
  </si>
  <si>
    <t>ZALGUEN</t>
  </si>
  <si>
    <t>CONSTRUCTION PISTE ZALGUENE</t>
  </si>
  <si>
    <t>OUAOUIZERT</t>
  </si>
  <si>
    <t>DOUARS IAAMOUMEN ET AIT OUAAZIK</t>
  </si>
  <si>
    <t>OUVERTURE ET AMENAGEMENT DE LA PISTE RELIANT LA RP 3111 AU DOUAR TASGUA A IAAMOUMEN PAR TIZI GHNIM ET ANISL</t>
  </si>
  <si>
    <t>AIT BOU OULI</t>
  </si>
  <si>
    <t>TARGA-AIT LAALAM</t>
  </si>
  <si>
    <t>AMENAGEMENT DE LA PISTE RELIANT  TARGA-AIT LAALAM</t>
  </si>
  <si>
    <t>MY AISSA BEN DRISS</t>
  </si>
  <si>
    <t>TIZIMOULT ET AIT BOUYKBANE</t>
  </si>
  <si>
    <t>CONSTRUCTION DE LA ROUTE RELIANT TIZIMOULT ET LA RP 3101 ET ROUTE RELIANT 3105 ET DOUAR AIT BOUYKBANE (5KM)</t>
  </si>
  <si>
    <t>TAOUNZA</t>
  </si>
  <si>
    <t>AIT OUMAALA-RP3105</t>
  </si>
  <si>
    <t>CONSTRUCTION ROUTE RELIANT  DOUAR AIT OUMAALA ET LA RP 3105 SUR 3,8 KM</t>
  </si>
  <si>
    <t>CENTRE ANERGUI, ASKMOUD, ADENDOUN, AIT YAAKOUB, TIMKIT</t>
  </si>
  <si>
    <t>AMENAGEMENT DE LA ROUTE RELIANT LA RR302 ET CENTRE ANERGUI PAR AKHACHANE SUR 32 KM</t>
  </si>
  <si>
    <t>Alimentation en eau potable</t>
  </si>
  <si>
    <t>AIT OUAHI -AIT SSIMOUR</t>
  </si>
  <si>
    <t xml:space="preserve">Equipement puits ait simour et ait oiuahi en système photo voltaique ait ouahi ait issimour </t>
  </si>
  <si>
    <t>Creusement Forage</t>
  </si>
  <si>
    <t>AIT OUMDISS</t>
  </si>
  <si>
    <t>AIT HMOUDO</t>
  </si>
  <si>
    <t>A.E.P DE DOUAR AIT HMMOUDO</t>
  </si>
  <si>
    <t>AIT BOULMANE</t>
  </si>
  <si>
    <t>ADDUCTION DES DOUARS EN EAU POTABLE</t>
  </si>
  <si>
    <t>AIT HAKOU</t>
  </si>
  <si>
    <t>ADDUCTION EN EAU POTABLE DU DOUAR AIT HAKKOU</t>
  </si>
  <si>
    <t>TAGOULALTE- IGHRIM</t>
  </si>
  <si>
    <t>AEP DES DOUARS TAGOULALTE- IGHRIM</t>
  </si>
  <si>
    <t>TAGUELAFT</t>
  </si>
  <si>
    <t>TAGHIA N'AIT BOULMAN-TAOURIRT</t>
  </si>
  <si>
    <t>EXTENSION RESEAU AEP DOUAR TAGHIA N'AIT BOUILMAN ET ACHEVEMENT AEP DOUAR TAOURIRT</t>
  </si>
  <si>
    <t>TIHARRISSINE</t>
  </si>
  <si>
    <t>AEP DOUAR THARRISSINE</t>
  </si>
  <si>
    <t>TABAROUCHTE</t>
  </si>
  <si>
    <t>AEP DOUAR GUELZMAT</t>
  </si>
  <si>
    <t>Route et pistes</t>
  </si>
  <si>
    <t>BIR GDIH,RAHALA, OULED ALI M'HAMED</t>
  </si>
  <si>
    <t>Construction des de la route reliant BIR GDIH,RAHALA,OULED ALI M'HAMED et DAR OLD ZIDOUH</t>
  </si>
  <si>
    <t>Construction des de la route reliant ouled si blghayte ,ouled bourahmoune et OULED BOURAHMOUNE</t>
  </si>
  <si>
    <t>Construction des de la route reliant Lhlaf, Ait Ghanem, Od Mhamed, Qdidrat, Lmgharir et Od Sliman et DAR OLD ZIDOUH</t>
  </si>
  <si>
    <t>Construction des de la route reliant lbaara ,od iloul  et Ouled Naceur</t>
  </si>
  <si>
    <t>Construction des de la route reliant cotma ,ouled mrah, ouled smida,ngar  et ouled zmam</t>
  </si>
  <si>
    <t>DAR OLD ZIDOUH et had boumoussa</t>
  </si>
  <si>
    <t xml:space="preserve">  RP3224,Od Nifaoui CHARIKA,OD SLIMA,od hamza,lhbabza,RP3105</t>
  </si>
  <si>
    <t>Construction des de la route reliant   RP3224,Od Nifaoui CHARIKA,OD SLIMA,od hamza,lhbabza,RP3105 et DAR OLD ZIDOUH et had boumoussa</t>
  </si>
  <si>
    <t>HAD BOUMOUSSA</t>
  </si>
  <si>
    <t>Ouled Abdellah Lmqada</t>
  </si>
  <si>
    <t>Construction des de la route reliant Ouled Abdellah Lmqada et HAD BOUMOUSSA</t>
  </si>
  <si>
    <t xml:space="preserve">beni chegdale </t>
  </si>
  <si>
    <t>ouled aissa , douar chorfa</t>
  </si>
  <si>
    <t>Travaux de construction de la route reliantRR308 ouled aissa &amp; douar chorfa  et route beni chegdal beni oukil sur 7km</t>
  </si>
  <si>
    <t>Sidi aissa</t>
  </si>
  <si>
    <t xml:space="preserve">AIN ZARGA ,OULED SMIDA,BNI AOUN </t>
  </si>
  <si>
    <t>Construction des de la route reliant AIN ZARGA ,OULED SMIDA,BNI AOUN  et Sidi aissa</t>
  </si>
  <si>
    <t>Ouled ali</t>
  </si>
  <si>
    <t>Alimentation et adduction d’eau potable</t>
  </si>
  <si>
    <t>KHALFIA</t>
  </si>
  <si>
    <t>Ouled hassoun</t>
  </si>
  <si>
    <t>Extension du réseau de distribution</t>
  </si>
  <si>
    <t>Hel sous</t>
  </si>
  <si>
    <t>Jnan Imas+ Ait Bouhemad +Talhena t+ Tachabout+ Tafarnant</t>
  </si>
  <si>
    <t>El Borj+ Aguelmous</t>
  </si>
  <si>
    <t>Sidi Amer+ Aguelmous</t>
  </si>
  <si>
    <t>Izoumaguen</t>
  </si>
  <si>
    <t>Réhabilitation</t>
  </si>
  <si>
    <t>Ait Ishaq</t>
  </si>
  <si>
    <t>Farra+Ait Ishaq</t>
  </si>
  <si>
    <t>Ait Saadeli</t>
  </si>
  <si>
    <t>Ait Makraz -Ain Aicha - Tamkkaydoute -Moulay Lahcen</t>
  </si>
  <si>
    <t>Douars concernés par l'AEP dans les communes concernées</t>
  </si>
  <si>
    <t>Réalisation du SAEP (puits – réservoir -conduites – équipement + BF</t>
  </si>
  <si>
    <t>Réalisation du SAEP (puits - réservoir-conduites – équipement +BF</t>
  </si>
  <si>
    <t>Réalisation du SAEP (2 puits – réservoir -conduites -équipement + BF</t>
  </si>
  <si>
    <t>Ouaoumana</t>
  </si>
  <si>
    <t>Almou ndihane</t>
  </si>
  <si>
    <t>Ait boutaghat</t>
  </si>
  <si>
    <t>Izaroual kbar sbaa</t>
  </si>
  <si>
    <t>KHOURIBGA</t>
  </si>
  <si>
    <t>Chougrane</t>
  </si>
  <si>
    <t>Ecole Lhait Labyed</t>
  </si>
  <si>
    <t>Aménagement et construction des pistes</t>
  </si>
  <si>
    <t>Béni Zrantel</t>
  </si>
  <si>
    <t>RP 3516 PK 21 par Bouassila</t>
  </si>
  <si>
    <t>Bir Mezoui</t>
  </si>
  <si>
    <t>Bir Mezoui P 3511 (CT 1523) par sidi M'barek</t>
  </si>
  <si>
    <t>HT</t>
  </si>
  <si>
    <t>ETUDE TTC</t>
  </si>
  <si>
    <t>BM</t>
  </si>
  <si>
    <t>FBS</t>
  </si>
  <si>
    <t>KHNIFRA</t>
  </si>
  <si>
    <t>bm khnif</t>
  </si>
  <si>
    <t>azilal 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</si>
</sst>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D_H_-;\-* #,##0.00\ _D_H_-;_-* &quot;-&quot;??\ _D_H_-;_-@_-"/>
    <numFmt numFmtId="164" formatCode="_-* #,##0.00\ _€_-;\-* #,##0.00\ _€_-;_-* &quot;-&quot;??\ _€_-;_-@_-"/>
    <numFmt numFmtId="165" formatCode="_-* #,##0\ _€_-;\-* #,##0\ _€_-;_-* &quot;-&quot;??\ _€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20"/>
      <color indexed="10"/>
      <name val="Calibri"/>
      <family val="2"/>
    </font>
    <font>
      <sz val="20"/>
      <color indexed="8"/>
      <name val="Calibri"/>
      <family val="2"/>
    </font>
    <font>
      <sz val="20"/>
      <color indexed="57"/>
      <name val="Calibri"/>
      <family val="2"/>
    </font>
    <font>
      <b/>
      <u/>
      <sz val="20"/>
      <color indexed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color rgb="FF00000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rgb="FF000000"/>
      <name val="Times New Roman"/>
      <family val="1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0"/>
      <color theme="1"/>
      <name val="Times New Roman"/>
      <family val="1"/>
    </font>
    <font>
      <sz val="12"/>
      <color theme="1"/>
      <name val="Times New Roman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1"/>
      <color indexed="8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20"/>
      <color theme="1"/>
      <name val="Calibri"/>
      <family val="2"/>
    </font>
    <font>
      <b/>
      <u/>
      <sz val="20"/>
      <color rgb="FFFF0000"/>
      <name val="Calibri"/>
      <family val="2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b/>
      <sz val="16"/>
      <color theme="0"/>
      <name val="Times New Roman"/>
      <family val="1"/>
    </font>
    <font>
      <b/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vertAlign val="superscript"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theme="2" tint="-0.499984740745262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5" fillId="0" borderId="0"/>
    <xf numFmtId="0" fontId="18" fillId="0" borderId="0"/>
    <xf numFmtId="164" fontId="15" fillId="0" borderId="0" applyFont="0" applyFill="0" applyBorder="0" applyAlignment="0" applyProtection="0"/>
    <xf numFmtId="0" fontId="26" fillId="0" borderId="0"/>
    <xf numFmtId="164" fontId="1" fillId="0" borderId="0" applyFont="0" applyFill="0" applyBorder="0" applyAlignment="0" applyProtection="0"/>
    <xf numFmtId="0" fontId="30" fillId="0" borderId="0"/>
  </cellStyleXfs>
  <cellXfs count="284">
    <xf numFmtId="0" fontId="0" fillId="0" borderId="0" xfId="0"/>
    <xf numFmtId="0" fontId="0" fillId="0" borderId="1" xfId="0" applyFill="1" applyBorder="1" applyAlignment="1">
      <alignment vertical="center" wrapText="1"/>
    </xf>
    <xf numFmtId="0" fontId="3" fillId="0" borderId="0" xfId="0" applyFont="1"/>
    <xf numFmtId="0" fontId="0" fillId="0" borderId="1" xfId="0" applyFill="1" applyBorder="1" applyAlignment="1">
      <alignment vertical="center"/>
    </xf>
    <xf numFmtId="0" fontId="0" fillId="0" borderId="1" xfId="0" applyBorder="1"/>
    <xf numFmtId="0" fontId="16" fillId="0" borderId="1" xfId="2" applyFont="1" applyFill="1" applyBorder="1" applyAlignment="1">
      <alignment horizontal="left" vertical="center" wrapText="1"/>
    </xf>
    <xf numFmtId="0" fontId="16" fillId="6" borderId="1" xfId="2" applyNumberFormat="1" applyFont="1" applyFill="1" applyBorder="1" applyAlignment="1">
      <alignment horizontal="left" vertical="center" wrapText="1"/>
    </xf>
    <xf numFmtId="0" fontId="11" fillId="3" borderId="1" xfId="3" applyFont="1" applyFill="1" applyBorder="1" applyAlignment="1">
      <alignment horizontal="left" vertical="center" wrapText="1"/>
    </xf>
    <xf numFmtId="0" fontId="19" fillId="6" borderId="1" xfId="2" applyNumberFormat="1" applyFont="1" applyFill="1" applyBorder="1" applyAlignment="1">
      <alignment horizontal="left" vertical="center" wrapText="1"/>
    </xf>
    <xf numFmtId="0" fontId="16" fillId="6" borderId="1" xfId="2" applyFont="1" applyFill="1" applyBorder="1" applyAlignment="1">
      <alignment horizontal="left" vertical="center" wrapText="1"/>
    </xf>
    <xf numFmtId="0" fontId="10" fillId="3" borderId="1" xfId="3" applyFont="1" applyFill="1" applyBorder="1" applyAlignment="1">
      <alignment horizontal="left" vertical="center" wrapText="1"/>
    </xf>
    <xf numFmtId="4" fontId="12" fillId="6" borderId="1" xfId="1" applyNumberFormat="1" applyFont="1" applyFill="1" applyBorder="1" applyAlignment="1">
      <alignment horizontal="center" vertical="center" wrapText="1"/>
    </xf>
    <xf numFmtId="0" fontId="19" fillId="6" borderId="1" xfId="2" quotePrefix="1" applyNumberFormat="1" applyFont="1" applyFill="1" applyBorder="1" applyAlignment="1">
      <alignment horizontal="center" vertical="center" wrapText="1"/>
    </xf>
    <xf numFmtId="0" fontId="19" fillId="0" borderId="1" xfId="2" applyFont="1" applyFill="1" applyBorder="1" applyAlignment="1">
      <alignment horizontal="left" vertical="center" wrapText="1"/>
    </xf>
    <xf numFmtId="0" fontId="19" fillId="4" borderId="1" xfId="2" applyFont="1" applyFill="1" applyBorder="1" applyAlignment="1">
      <alignment horizontal="left" vertical="center" wrapText="1"/>
    </xf>
    <xf numFmtId="0" fontId="0" fillId="0" borderId="1" xfId="0" applyFill="1" applyBorder="1"/>
    <xf numFmtId="0" fontId="22" fillId="0" borderId="1" xfId="3" applyFont="1" applyFill="1" applyBorder="1" applyAlignment="1"/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0" fontId="24" fillId="0" borderId="1" xfId="3" applyFont="1" applyFill="1" applyBorder="1" applyAlignment="1"/>
    <xf numFmtId="4" fontId="10" fillId="4" borderId="1" xfId="1" applyNumberFormat="1" applyFont="1" applyFill="1" applyBorder="1" applyAlignment="1">
      <alignment horizontal="center" vertical="center" wrapText="1"/>
    </xf>
    <xf numFmtId="0" fontId="19" fillId="7" borderId="1" xfId="2" applyFont="1" applyFill="1" applyBorder="1" applyAlignment="1">
      <alignment horizontal="left" vertical="center" wrapText="1"/>
    </xf>
    <xf numFmtId="4" fontId="10" fillId="7" borderId="1" xfId="1" applyNumberFormat="1" applyFont="1" applyFill="1" applyBorder="1" applyAlignment="1">
      <alignment horizontal="center" vertical="center" wrapText="1"/>
    </xf>
    <xf numFmtId="4" fontId="23" fillId="0" borderId="1" xfId="1" applyNumberFormat="1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9" fillId="0" borderId="1" xfId="0" applyNumberFormat="1" applyFont="1" applyFill="1" applyBorder="1" applyAlignment="1">
      <alignment horizontal="left" vertical="center" wrapText="1"/>
    </xf>
    <xf numFmtId="4" fontId="23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12" fillId="3" borderId="1" xfId="7" applyFont="1" applyFill="1" applyBorder="1" applyAlignment="1">
      <alignment horizontal="left" vertical="center" wrapText="1"/>
    </xf>
    <xf numFmtId="0" fontId="29" fillId="0" borderId="1" xfId="7" applyFont="1" applyFill="1" applyBorder="1" applyAlignment="1">
      <alignment horizontal="left" vertical="center" wrapText="1"/>
    </xf>
    <xf numFmtId="0" fontId="29" fillId="0" borderId="1" xfId="7" applyNumberFormat="1" applyFont="1" applyFill="1" applyBorder="1" applyAlignment="1">
      <alignment horizontal="left" vertical="center" wrapText="1"/>
    </xf>
    <xf numFmtId="4" fontId="23" fillId="0" borderId="1" xfId="6" applyNumberFormat="1" applyFont="1" applyBorder="1" applyAlignment="1">
      <alignment horizontal="center" vertical="center" wrapText="1"/>
    </xf>
    <xf numFmtId="4" fontId="27" fillId="3" borderId="1" xfId="1" applyNumberFormat="1" applyFont="1" applyFill="1" applyBorder="1" applyAlignment="1">
      <alignment horizontal="center" vertical="center" wrapText="1"/>
    </xf>
    <xf numFmtId="164" fontId="31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2" fillId="4" borderId="1" xfId="3" applyFont="1" applyFill="1" applyBorder="1" applyAlignment="1">
      <alignment horizontal="center" vertical="center" wrapText="1"/>
    </xf>
    <xf numFmtId="0" fontId="22" fillId="0" borderId="1" xfId="3" applyFont="1" applyFill="1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4" fillId="0" borderId="1" xfId="3" applyFont="1" applyFill="1" applyBorder="1" applyAlignment="1">
      <alignment vertical="center" wrapText="1"/>
    </xf>
    <xf numFmtId="4" fontId="28" fillId="4" borderId="1" xfId="1" applyNumberFormat="1" applyFont="1" applyFill="1" applyBorder="1" applyAlignment="1">
      <alignment horizontal="center" vertical="center" wrapText="1"/>
    </xf>
    <xf numFmtId="4" fontId="28" fillId="4" borderId="1" xfId="0" applyNumberFormat="1" applyFont="1" applyFill="1" applyBorder="1" applyAlignment="1">
      <alignment horizontal="center" vertical="center" wrapText="1"/>
    </xf>
    <xf numFmtId="0" fontId="31" fillId="4" borderId="1" xfId="5" applyNumberFormat="1" applyFont="1" applyFill="1" applyBorder="1" applyAlignment="1">
      <alignment horizontal="center" vertical="center" wrapText="1"/>
    </xf>
    <xf numFmtId="0" fontId="23" fillId="6" borderId="1" xfId="3" applyNumberFormat="1" applyFont="1" applyFill="1" applyBorder="1" applyAlignment="1">
      <alignment horizontal="left" vertical="center" wrapText="1"/>
    </xf>
    <xf numFmtId="0" fontId="29" fillId="0" borderId="1" xfId="3" applyNumberFormat="1" applyFont="1" applyFill="1" applyBorder="1" applyAlignment="1">
      <alignment horizontal="left" vertical="center" wrapText="1"/>
    </xf>
    <xf numFmtId="4" fontId="28" fillId="7" borderId="1" xfId="1" applyNumberFormat="1" applyFont="1" applyFill="1" applyBorder="1" applyAlignment="1">
      <alignment horizontal="center" vertical="center" wrapText="1"/>
    </xf>
    <xf numFmtId="4" fontId="31" fillId="7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64" fontId="1" fillId="0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164" fontId="3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164" fontId="3" fillId="4" borderId="1" xfId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wrapText="1"/>
    </xf>
    <xf numFmtId="164" fontId="0" fillId="0" borderId="0" xfId="1" applyFont="1"/>
    <xf numFmtId="165" fontId="1" fillId="0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/>
    </xf>
    <xf numFmtId="165" fontId="22" fillId="0" borderId="1" xfId="1" applyNumberFormat="1" applyFont="1" applyFill="1" applyBorder="1" applyAlignment="1">
      <alignment horizontal="center"/>
    </xf>
    <xf numFmtId="165" fontId="10" fillId="4" borderId="1" xfId="1" applyNumberFormat="1" applyFont="1" applyFill="1" applyBorder="1" applyAlignment="1">
      <alignment horizontal="center" vertical="center" wrapText="1"/>
    </xf>
    <xf numFmtId="165" fontId="11" fillId="6" borderId="1" xfId="1" applyNumberFormat="1" applyFont="1" applyFill="1" applyBorder="1" applyAlignment="1">
      <alignment horizontal="center" vertical="center" wrapText="1"/>
    </xf>
    <xf numFmtId="165" fontId="10" fillId="7" borderId="1" xfId="1" applyNumberFormat="1" applyFont="1" applyFill="1" applyBorder="1" applyAlignment="1">
      <alignment horizontal="center" vertical="center" wrapText="1"/>
    </xf>
    <xf numFmtId="165" fontId="23" fillId="0" borderId="1" xfId="1" applyNumberFormat="1" applyFont="1" applyBorder="1" applyAlignment="1">
      <alignment horizontal="center" vertical="center" wrapText="1"/>
    </xf>
    <xf numFmtId="165" fontId="23" fillId="6" borderId="1" xfId="1" applyNumberFormat="1" applyFont="1" applyFill="1" applyBorder="1" applyAlignment="1">
      <alignment horizontal="center" vertical="center" wrapText="1"/>
    </xf>
    <xf numFmtId="165" fontId="31" fillId="3" borderId="1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Fill="1" applyBorder="1" applyAlignment="1">
      <alignment horizontal="center" vertical="center" wrapText="1"/>
    </xf>
    <xf numFmtId="165" fontId="27" fillId="4" borderId="1" xfId="1" applyNumberFormat="1" applyFont="1" applyFill="1" applyBorder="1" applyAlignment="1">
      <alignment horizontal="center" vertical="center" wrapText="1"/>
    </xf>
    <xf numFmtId="165" fontId="32" fillId="7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164" fontId="13" fillId="8" borderId="1" xfId="1" applyFont="1" applyFill="1" applyBorder="1" applyAlignment="1">
      <alignment horizontal="center" vertical="center"/>
    </xf>
    <xf numFmtId="165" fontId="13" fillId="8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28" fillId="3" borderId="1" xfId="0" applyFont="1" applyFill="1" applyBorder="1" applyAlignment="1">
      <alignment horizontal="left" vertical="center" wrapText="1"/>
    </xf>
    <xf numFmtId="4" fontId="28" fillId="3" borderId="1" xfId="0" applyNumberFormat="1" applyFont="1" applyFill="1" applyBorder="1" applyAlignment="1">
      <alignment horizontal="left" vertical="center" wrapText="1"/>
    </xf>
    <xf numFmtId="165" fontId="28" fillId="3" borderId="1" xfId="1" applyNumberFormat="1" applyFont="1" applyFill="1" applyBorder="1" applyAlignment="1">
      <alignment horizontal="left" vertical="center" wrapText="1"/>
    </xf>
    <xf numFmtId="0" fontId="31" fillId="4" borderId="1" xfId="0" applyNumberFormat="1" applyFont="1" applyFill="1" applyBorder="1" applyAlignment="1">
      <alignment horizontal="left" vertical="center" wrapText="1"/>
    </xf>
    <xf numFmtId="165" fontId="28" fillId="4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 wrapText="1"/>
    </xf>
    <xf numFmtId="165" fontId="28" fillId="7" borderId="1" xfId="1" applyNumberFormat="1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center" vertical="center" wrapText="1"/>
    </xf>
    <xf numFmtId="49" fontId="33" fillId="4" borderId="1" xfId="0" applyNumberFormat="1" applyFont="1" applyFill="1" applyBorder="1" applyAlignment="1">
      <alignment vertical="center" wrapText="1"/>
    </xf>
    <xf numFmtId="49" fontId="34" fillId="4" borderId="1" xfId="0" applyNumberFormat="1" applyFont="1" applyFill="1" applyBorder="1" applyAlignment="1">
      <alignment vertical="center" wrapText="1"/>
    </xf>
    <xf numFmtId="164" fontId="34" fillId="4" borderId="1" xfId="1" applyFont="1" applyFill="1" applyBorder="1" applyAlignment="1">
      <alignment vertical="center" wrapText="1"/>
    </xf>
    <xf numFmtId="164" fontId="34" fillId="3" borderId="1" xfId="1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left" vertical="center" wrapText="1"/>
    </xf>
    <xf numFmtId="165" fontId="35" fillId="0" borderId="1" xfId="1" applyNumberFormat="1" applyFont="1" applyFill="1" applyBorder="1" applyAlignment="1">
      <alignment horizontal="left" vertical="center" wrapText="1"/>
    </xf>
    <xf numFmtId="164" fontId="35" fillId="0" borderId="1" xfId="1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0" fillId="0" borderId="0" xfId="0" applyFont="1"/>
    <xf numFmtId="4" fontId="36" fillId="3" borderId="1" xfId="4" applyNumberFormat="1" applyFont="1" applyFill="1" applyBorder="1" applyAlignment="1">
      <alignment horizontal="center" vertical="center" wrapText="1"/>
    </xf>
    <xf numFmtId="165" fontId="36" fillId="3" borderId="1" xfId="1" applyNumberFormat="1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1" fillId="3" borderId="1" xfId="2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 wrapText="1"/>
    </xf>
    <xf numFmtId="0" fontId="21" fillId="3" borderId="1" xfId="2" applyNumberFormat="1" applyFont="1" applyFill="1" applyBorder="1" applyAlignment="1">
      <alignment horizontal="center" vertical="center" wrapText="1"/>
    </xf>
    <xf numFmtId="0" fontId="36" fillId="3" borderId="1" xfId="2" applyNumberFormat="1" applyFont="1" applyFill="1" applyBorder="1" applyAlignment="1">
      <alignment horizontal="center" vertical="center" wrapText="1"/>
    </xf>
    <xf numFmtId="49" fontId="21" fillId="4" borderId="1" xfId="0" applyNumberFormat="1" applyFont="1" applyFill="1" applyBorder="1" applyAlignment="1">
      <alignment horizontal="center" vertical="center" wrapText="1"/>
    </xf>
    <xf numFmtId="49" fontId="25" fillId="4" borderId="1" xfId="0" applyNumberFormat="1" applyFont="1" applyFill="1" applyBorder="1" applyAlignment="1">
      <alignment horizontal="center" vertical="center" wrapText="1"/>
    </xf>
    <xf numFmtId="0" fontId="21" fillId="4" borderId="1" xfId="3" applyNumberFormat="1" applyFont="1" applyFill="1" applyBorder="1" applyAlignment="1">
      <alignment horizontal="center" vertical="center" wrapText="1"/>
    </xf>
    <xf numFmtId="0" fontId="21" fillId="4" borderId="1" xfId="5" applyNumberFormat="1" applyFont="1" applyFill="1" applyBorder="1" applyAlignment="1">
      <alignment horizontal="center" vertical="center" wrapText="1"/>
    </xf>
    <xf numFmtId="4" fontId="21" fillId="4" borderId="1" xfId="5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1" fillId="7" borderId="1" xfId="3" applyNumberFormat="1" applyFont="1" applyFill="1" applyBorder="1" applyAlignment="1">
      <alignment horizontal="center" vertical="center" wrapText="1"/>
    </xf>
    <xf numFmtId="0" fontId="21" fillId="7" borderId="1" xfId="0" applyNumberFormat="1" applyFont="1" applyFill="1" applyBorder="1" applyAlignment="1">
      <alignment horizontal="center" vertical="center" wrapText="1"/>
    </xf>
    <xf numFmtId="0" fontId="31" fillId="3" borderId="1" xfId="2" applyFont="1" applyFill="1" applyBorder="1" applyAlignment="1">
      <alignment horizontal="center" vertical="center" wrapText="1"/>
    </xf>
    <xf numFmtId="0" fontId="27" fillId="3" borderId="1" xfId="3" applyFont="1" applyFill="1" applyBorder="1" applyAlignment="1">
      <alignment horizontal="center" vertical="center" wrapText="1"/>
    </xf>
    <xf numFmtId="0" fontId="31" fillId="3" borderId="1" xfId="2" applyNumberFormat="1" applyFont="1" applyFill="1" applyBorder="1" applyAlignment="1">
      <alignment horizontal="center" vertical="center" wrapText="1"/>
    </xf>
    <xf numFmtId="4" fontId="31" fillId="3" borderId="1" xfId="2" applyNumberFormat="1" applyFont="1" applyFill="1" applyBorder="1" applyAlignment="1">
      <alignment horizontal="center" vertical="center" wrapText="1"/>
    </xf>
    <xf numFmtId="49" fontId="31" fillId="4" borderId="1" xfId="0" applyNumberFormat="1" applyFont="1" applyFill="1" applyBorder="1" applyAlignment="1">
      <alignment horizontal="center" vertical="center" wrapText="1"/>
    </xf>
    <xf numFmtId="49" fontId="28" fillId="4" borderId="1" xfId="0" applyNumberFormat="1" applyFont="1" applyFill="1" applyBorder="1" applyAlignment="1">
      <alignment horizontal="center" vertical="center" wrapText="1"/>
    </xf>
    <xf numFmtId="0" fontId="31" fillId="4" borderId="1" xfId="3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7" borderId="1" xfId="3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8" fillId="3" borderId="2" xfId="0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49" fontId="34" fillId="4" borderId="2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165" fontId="14" fillId="0" borderId="1" xfId="1" applyNumberFormat="1" applyFont="1" applyFill="1" applyBorder="1" applyAlignment="1">
      <alignment horizontal="center" vertical="center"/>
    </xf>
    <xf numFmtId="164" fontId="14" fillId="0" borderId="1" xfId="1" applyFont="1" applyFill="1" applyBorder="1" applyAlignment="1">
      <alignment horizontal="center" vertical="center"/>
    </xf>
    <xf numFmtId="0" fontId="0" fillId="9" borderId="1" xfId="0" applyFont="1" applyFill="1" applyBorder="1" applyAlignment="1">
      <alignment vertical="center" wrapText="1"/>
    </xf>
    <xf numFmtId="164" fontId="3" fillId="9" borderId="1" xfId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vertical="center"/>
    </xf>
    <xf numFmtId="164" fontId="14" fillId="9" borderId="1" xfId="1" applyFont="1" applyFill="1" applyBorder="1" applyAlignment="1">
      <alignment horizontal="center" vertical="center"/>
    </xf>
    <xf numFmtId="165" fontId="14" fillId="9" borderId="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 wrapText="1"/>
    </xf>
    <xf numFmtId="0" fontId="39" fillId="8" borderId="1" xfId="3" applyNumberFormat="1" applyFont="1" applyFill="1" applyBorder="1" applyAlignment="1">
      <alignment horizontal="center" vertical="center" wrapText="1"/>
    </xf>
    <xf numFmtId="0" fontId="39" fillId="8" borderId="1" xfId="0" applyNumberFormat="1" applyFont="1" applyFill="1" applyBorder="1" applyAlignment="1">
      <alignment horizontal="center" vertical="center" wrapText="1"/>
    </xf>
    <xf numFmtId="165" fontId="39" fillId="8" borderId="1" xfId="1" applyNumberFormat="1" applyFont="1" applyFill="1" applyBorder="1" applyAlignment="1">
      <alignment horizontal="center" vertical="center" wrapText="1"/>
    </xf>
    <xf numFmtId="4" fontId="40" fillId="8" borderId="1" xfId="1" applyNumberFormat="1" applyFont="1" applyFill="1" applyBorder="1" applyAlignment="1">
      <alignment horizontal="center" vertical="center" wrapText="1"/>
    </xf>
    <xf numFmtId="4" fontId="41" fillId="8" borderId="1" xfId="1" applyNumberFormat="1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 wrapText="1"/>
    </xf>
    <xf numFmtId="0" fontId="40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/>
    <xf numFmtId="0" fontId="4" fillId="8" borderId="4" xfId="0" applyFont="1" applyFill="1" applyBorder="1"/>
    <xf numFmtId="0" fontId="40" fillId="8" borderId="1" xfId="0" applyFont="1" applyFill="1" applyBorder="1" applyAlignment="1">
      <alignment horizontal="left" vertical="center" wrapText="1"/>
    </xf>
    <xf numFmtId="165" fontId="40" fillId="8" borderId="1" xfId="1" applyNumberFormat="1" applyFont="1" applyFill="1" applyBorder="1" applyAlignment="1">
      <alignment horizontal="left" vertical="center" wrapText="1"/>
    </xf>
    <xf numFmtId="4" fontId="40" fillId="8" borderId="1" xfId="0" applyNumberFormat="1" applyFont="1" applyFill="1" applyBorder="1" applyAlignment="1">
      <alignment horizontal="center" vertical="center" wrapText="1"/>
    </xf>
    <xf numFmtId="4" fontId="23" fillId="0" borderId="1" xfId="0" applyNumberFormat="1" applyFont="1" applyFill="1" applyBorder="1" applyAlignment="1">
      <alignment horizontal="center" wrapText="1"/>
    </xf>
    <xf numFmtId="4" fontId="28" fillId="7" borderId="1" xfId="0" applyNumberFormat="1" applyFont="1" applyFill="1" applyBorder="1" applyAlignment="1">
      <alignment horizontal="center" wrapText="1"/>
    </xf>
    <xf numFmtId="0" fontId="40" fillId="8" borderId="1" xfId="3" applyNumberFormat="1" applyFont="1" applyFill="1" applyBorder="1" applyAlignment="1">
      <alignment horizontal="center" vertical="center" wrapText="1"/>
    </xf>
    <xf numFmtId="165" fontId="40" fillId="8" borderId="1" xfId="1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164" fontId="2" fillId="8" borderId="1" xfId="1" applyFont="1" applyFill="1" applyBorder="1" applyAlignment="1">
      <alignment vertical="center" wrapText="1"/>
    </xf>
    <xf numFmtId="0" fontId="33" fillId="9" borderId="1" xfId="0" applyFont="1" applyFill="1" applyBorder="1" applyAlignment="1">
      <alignment vertical="center"/>
    </xf>
    <xf numFmtId="0" fontId="42" fillId="9" borderId="2" xfId="0" applyNumberFormat="1" applyFont="1" applyFill="1" applyBorder="1" applyAlignment="1">
      <alignment horizontal="center" vertical="center" wrapText="1"/>
    </xf>
    <xf numFmtId="0" fontId="42" fillId="9" borderId="1" xfId="0" applyNumberFormat="1" applyFont="1" applyFill="1" applyBorder="1" applyAlignment="1">
      <alignment horizontal="left" vertical="center" wrapText="1"/>
    </xf>
    <xf numFmtId="165" fontId="42" fillId="9" borderId="1" xfId="1" applyNumberFormat="1" applyFont="1" applyFill="1" applyBorder="1" applyAlignment="1">
      <alignment horizontal="left" vertical="center" wrapText="1"/>
    </xf>
    <xf numFmtId="164" fontId="43" fillId="9" borderId="1" xfId="0" applyNumberFormat="1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/>
    </xf>
    <xf numFmtId="0" fontId="19" fillId="0" borderId="9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justify" vertical="center" wrapText="1"/>
    </xf>
    <xf numFmtId="0" fontId="16" fillId="0" borderId="10" xfId="0" applyFont="1" applyBorder="1" applyAlignment="1">
      <alignment horizontal="justify" vertical="center"/>
    </xf>
    <xf numFmtId="0" fontId="16" fillId="0" borderId="12" xfId="0" applyFont="1" applyBorder="1" applyAlignment="1">
      <alignment vertical="center" wrapText="1"/>
    </xf>
    <xf numFmtId="0" fontId="19" fillId="0" borderId="10" xfId="0" applyFont="1" applyBorder="1" applyAlignment="1">
      <alignment vertical="center"/>
    </xf>
    <xf numFmtId="164" fontId="19" fillId="0" borderId="10" xfId="1" applyFont="1" applyBorder="1" applyAlignment="1">
      <alignment vertical="center" wrapText="1"/>
    </xf>
    <xf numFmtId="164" fontId="19" fillId="0" borderId="12" xfId="1" applyFont="1" applyBorder="1" applyAlignment="1">
      <alignment vertical="center" wrapText="1"/>
    </xf>
    <xf numFmtId="164" fontId="28" fillId="0" borderId="15" xfId="0" applyNumberFormat="1" applyFont="1" applyBorder="1"/>
    <xf numFmtId="0" fontId="19" fillId="0" borderId="16" xfId="0" applyFont="1" applyBorder="1" applyAlignment="1">
      <alignment vertical="center" wrapText="1"/>
    </xf>
    <xf numFmtId="164" fontId="19" fillId="0" borderId="15" xfId="1" applyFont="1" applyBorder="1" applyAlignment="1">
      <alignment vertical="center" wrapText="1"/>
    </xf>
    <xf numFmtId="0" fontId="42" fillId="9" borderId="18" xfId="0" applyNumberFormat="1" applyFont="1" applyFill="1" applyBorder="1" applyAlignment="1">
      <alignment horizontal="center" vertical="center" wrapText="1"/>
    </xf>
    <xf numFmtId="0" fontId="42" fillId="9" borderId="17" xfId="0" applyNumberFormat="1" applyFont="1" applyFill="1" applyBorder="1" applyAlignment="1">
      <alignment horizontal="left" vertical="center" wrapText="1"/>
    </xf>
    <xf numFmtId="165" fontId="42" fillId="9" borderId="17" xfId="1" applyNumberFormat="1" applyFont="1" applyFill="1" applyBorder="1" applyAlignment="1">
      <alignment horizontal="left" vertical="center" wrapText="1"/>
    </xf>
    <xf numFmtId="164" fontId="43" fillId="9" borderId="17" xfId="0" applyNumberFormat="1" applyFont="1" applyFill="1" applyBorder="1" applyAlignment="1">
      <alignment horizontal="left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164" fontId="3" fillId="3" borderId="1" xfId="1" applyFont="1" applyFill="1" applyBorder="1" applyAlignment="1">
      <alignment horizontal="center" vertical="center" wrapText="1"/>
    </xf>
    <xf numFmtId="164" fontId="13" fillId="8" borderId="1" xfId="1" applyFont="1" applyFill="1" applyBorder="1" applyAlignment="1">
      <alignment horizontal="center" vertical="center" wrapText="1"/>
    </xf>
    <xf numFmtId="165" fontId="13" fillId="8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8" borderId="3" xfId="0" applyFont="1" applyFill="1" applyBorder="1" applyAlignment="1">
      <alignment wrapText="1"/>
    </xf>
    <xf numFmtId="0" fontId="4" fillId="8" borderId="4" xfId="0" applyFont="1" applyFill="1" applyBorder="1" applyAlignment="1">
      <alignment wrapText="1"/>
    </xf>
    <xf numFmtId="0" fontId="33" fillId="9" borderId="17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165" fontId="14" fillId="6" borderId="1" xfId="1" applyNumberFormat="1" applyFont="1" applyFill="1" applyBorder="1" applyAlignment="1">
      <alignment horizontal="center" vertical="center" wrapText="1"/>
    </xf>
    <xf numFmtId="164" fontId="14" fillId="6" borderId="1" xfId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64" fontId="1" fillId="6" borderId="1" xfId="1" applyFont="1" applyFill="1" applyBorder="1" applyAlignment="1">
      <alignment horizontal="center" vertical="center" wrapText="1"/>
    </xf>
    <xf numFmtId="165" fontId="1" fillId="6" borderId="1" xfId="1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29" fillId="6" borderId="1" xfId="0" applyFont="1" applyFill="1" applyBorder="1" applyAlignment="1">
      <alignment horizontal="left" vertical="center" wrapText="1"/>
    </xf>
    <xf numFmtId="0" fontId="29" fillId="6" borderId="1" xfId="0" applyNumberFormat="1" applyFont="1" applyFill="1" applyBorder="1" applyAlignment="1">
      <alignment horizontal="left" vertical="center" wrapText="1"/>
    </xf>
    <xf numFmtId="4" fontId="23" fillId="6" borderId="1" xfId="0" applyNumberFormat="1" applyFont="1" applyFill="1" applyBorder="1" applyAlignment="1">
      <alignment horizontal="center" vertical="center" wrapText="1"/>
    </xf>
    <xf numFmtId="0" fontId="12" fillId="6" borderId="1" xfId="0" applyNumberFormat="1" applyFont="1" applyFill="1" applyBorder="1" applyAlignment="1">
      <alignment horizontal="left" vertical="center" wrapText="1"/>
    </xf>
    <xf numFmtId="0" fontId="29" fillId="6" borderId="1" xfId="7" applyFont="1" applyFill="1" applyBorder="1" applyAlignment="1">
      <alignment horizontal="left" vertical="center" wrapText="1"/>
    </xf>
    <xf numFmtId="0" fontId="29" fillId="6" borderId="1" xfId="7" applyNumberFormat="1" applyFont="1" applyFill="1" applyBorder="1" applyAlignment="1">
      <alignment horizontal="left" vertical="center" wrapText="1"/>
    </xf>
    <xf numFmtId="4" fontId="23" fillId="6" borderId="1" xfId="1" applyNumberFormat="1" applyFont="1" applyFill="1" applyBorder="1" applyAlignment="1">
      <alignment horizontal="center" vertical="center" wrapText="1"/>
    </xf>
    <xf numFmtId="4" fontId="23" fillId="6" borderId="1" xfId="6" applyNumberFormat="1" applyFont="1" applyFill="1" applyBorder="1" applyAlignment="1">
      <alignment horizontal="center" vertical="center" wrapText="1"/>
    </xf>
    <xf numFmtId="0" fontId="29" fillId="6" borderId="1" xfId="3" applyNumberFormat="1" applyFont="1" applyFill="1" applyBorder="1" applyAlignment="1">
      <alignment horizontal="left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5" fillId="6" borderId="1" xfId="0" applyNumberFormat="1" applyFont="1" applyFill="1" applyBorder="1" applyAlignment="1">
      <alignment horizontal="left" vertical="center" wrapText="1"/>
    </xf>
    <xf numFmtId="165" fontId="35" fillId="6" borderId="1" xfId="1" applyNumberFormat="1" applyFont="1" applyFill="1" applyBorder="1" applyAlignment="1">
      <alignment horizontal="left" vertical="center" wrapText="1"/>
    </xf>
    <xf numFmtId="0" fontId="35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164" fontId="21" fillId="7" borderId="1" xfId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6" fillId="10" borderId="9" xfId="0" applyFont="1" applyFill="1" applyBorder="1" applyAlignment="1">
      <alignment vertical="center" wrapText="1"/>
    </xf>
    <xf numFmtId="0" fontId="19" fillId="10" borderId="9" xfId="0" applyFont="1" applyFill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vertical="center" wrapText="1"/>
    </xf>
    <xf numFmtId="0" fontId="16" fillId="0" borderId="13" xfId="0" applyFont="1" applyBorder="1" applyAlignment="1">
      <alignment vertical="center"/>
    </xf>
    <xf numFmtId="164" fontId="16" fillId="0" borderId="8" xfId="1" applyFont="1" applyBorder="1" applyAlignment="1">
      <alignment vertical="center" wrapText="1"/>
    </xf>
    <xf numFmtId="164" fontId="16" fillId="0" borderId="19" xfId="1" applyFont="1" applyBorder="1" applyAlignment="1">
      <alignment vertical="center" wrapText="1"/>
    </xf>
    <xf numFmtId="164" fontId="31" fillId="0" borderId="15" xfId="1" applyFont="1" applyBorder="1" applyAlignment="1">
      <alignment vertical="center" wrapText="1"/>
    </xf>
    <xf numFmtId="0" fontId="31" fillId="0" borderId="7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vertical="center"/>
    </xf>
    <xf numFmtId="0" fontId="16" fillId="10" borderId="9" xfId="0" applyFont="1" applyFill="1" applyBorder="1" applyAlignment="1">
      <alignment vertical="center" wrapText="1"/>
    </xf>
    <xf numFmtId="43" fontId="0" fillId="0" borderId="0" xfId="0" applyNumberFormat="1"/>
    <xf numFmtId="0" fontId="37" fillId="0" borderId="0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164" fontId="16" fillId="0" borderId="14" xfId="1" applyFont="1" applyBorder="1" applyAlignment="1">
      <alignment horizontal="center" vertical="center" wrapText="1"/>
    </xf>
    <xf numFmtId="164" fontId="16" fillId="0" borderId="11" xfId="1" applyFont="1" applyBorder="1" applyAlignment="1">
      <alignment horizontal="center" vertical="center" wrapText="1"/>
    </xf>
    <xf numFmtId="164" fontId="16" fillId="0" borderId="9" xfId="1" applyFont="1" applyBorder="1" applyAlignment="1">
      <alignment horizontal="center" vertical="center" wrapText="1"/>
    </xf>
    <xf numFmtId="0" fontId="16" fillId="10" borderId="13" xfId="0" applyFont="1" applyFill="1" applyBorder="1" applyAlignment="1">
      <alignment vertical="center" wrapText="1"/>
    </xf>
    <xf numFmtId="0" fontId="16" fillId="10" borderId="11" xfId="0" applyFont="1" applyFill="1" applyBorder="1" applyAlignment="1">
      <alignment vertical="center" wrapText="1"/>
    </xf>
    <xf numFmtId="0" fontId="16" fillId="10" borderId="9" xfId="0" applyFont="1" applyFill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3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164" fontId="16" fillId="0" borderId="13" xfId="1" applyFont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164" fontId="19" fillId="0" borderId="13" xfId="1" applyFont="1" applyBorder="1" applyAlignment="1">
      <alignment horizontal="center" vertical="center" wrapText="1"/>
    </xf>
    <xf numFmtId="164" fontId="19" fillId="0" borderId="9" xfId="1" applyFont="1" applyBorder="1" applyAlignment="1">
      <alignment horizontal="center" vertical="center" wrapText="1"/>
    </xf>
    <xf numFmtId="9" fontId="0" fillId="0" borderId="0" xfId="0" applyNumberFormat="1" applyAlignment="1">
      <alignment horizontal="left"/>
    </xf>
  </cellXfs>
  <cellStyles count="8">
    <cellStyle name="Milliers" xfId="1" builtinId="3"/>
    <cellStyle name="Milliers 2" xfId="6" xr:uid="{00000000-0005-0000-0000-000001000000}"/>
    <cellStyle name="Milliers 3" xfId="4" xr:uid="{00000000-0005-0000-0000-000002000000}"/>
    <cellStyle name="Normal" xfId="0" builtinId="0"/>
    <cellStyle name="Normal 2" xfId="7" xr:uid="{00000000-0005-0000-0000-000004000000}"/>
    <cellStyle name="Normal 4" xfId="5" xr:uid="{00000000-0005-0000-0000-000005000000}"/>
    <cellStyle name="Normal 7" xfId="2" xr:uid="{00000000-0005-0000-0000-000006000000}"/>
    <cellStyle name="Normal_Feuil2" xfId="3" xr:uid="{00000000-0005-0000-0000-000007000000}"/>
  </cellStyles>
  <dxfs count="14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top style="thin">
          <color indexed="23"/>
        </top>
        <bottom style="thin">
          <color indexed="64"/>
        </bottom>
      </border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23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au5" displayName="Tableau5" ref="A8:I139" totalsRowShown="0" headerRowDxfId="13" tableBorderDxfId="12">
  <autoFilter ref="A8:I139" xr:uid="{00000000-0009-0000-0100-000005000000}"/>
  <tableColumns count="9">
    <tableColumn id="1" xr3:uid="{00000000-0010-0000-0000-000001000000}" name="Province"/>
    <tableColumn id="2" xr3:uid="{00000000-0010-0000-0000-000002000000}" name="Secteur"/>
    <tableColumn id="3" xr3:uid="{00000000-0010-0000-0000-000003000000}" name="Commune"/>
    <tableColumn id="4" xr3:uid="{00000000-0010-0000-0000-000004000000}" name="Douars Desservis"/>
    <tableColumn id="5" xr3:uid="{00000000-0010-0000-0000-000005000000}" name="Intitulé Projet"/>
    <tableColumn id="6" xr3:uid="{00000000-0010-0000-0000-000006000000}" name="Linieaire"/>
    <tableColumn id="7" xr3:uid="{00000000-0010-0000-0000-000007000000}" name="Nature  Intervention (Consistance physique)"/>
    <tableColumn id="10" xr3:uid="{00000000-0010-0000-0000-00000A000000}" name="Bénéficiares"/>
    <tableColumn id="12" xr3:uid="{00000000-0010-0000-0000-00000C000000}" name="C.REGION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4AD21-09E3-42DB-A875-40D9E61A9920}" name="Tableau52" displayName="Tableau52" ref="A8:I59" totalsRowShown="0" headerRowDxfId="11" dataDxfId="10" tableBorderDxfId="9">
  <autoFilter ref="A8:I59" xr:uid="{8F087A6E-0EF4-46E1-B1F2-EA005EB22299}"/>
  <tableColumns count="9">
    <tableColumn id="1" xr3:uid="{0AD9D264-DF1F-4D39-B503-4E412BDD1282}" name="Province" dataDxfId="8"/>
    <tableColumn id="2" xr3:uid="{1D4BF585-6C48-4250-983D-1A842F28542F}" name="Secteur" dataDxfId="7"/>
    <tableColumn id="3" xr3:uid="{38FFD6B1-B367-44B1-A0D6-54CC855EA53C}" name="Commune" dataDxfId="6"/>
    <tableColumn id="4" xr3:uid="{2A621A0A-D937-4248-B25B-20EE3F24EEEA}" name="Douars Desservis" dataDxfId="5"/>
    <tableColumn id="5" xr3:uid="{80220129-C387-4BDB-A9DB-7671CC2FAE8A}" name="Intitulé Projet" dataDxfId="4"/>
    <tableColumn id="6" xr3:uid="{A548062D-3DCB-49EB-BEAE-1C2CDC701F0D}" name="Linieaire" dataDxfId="3"/>
    <tableColumn id="7" xr3:uid="{CCFD1E48-D18A-4E22-9BF2-1079716D1370}" name="Nature  Intervention (Consistance physique)" dataDxfId="2"/>
    <tableColumn id="10" xr3:uid="{C2EEAD52-5116-4B07-8D2E-B424531DE4FF}" name="Bénéficiares" dataDxfId="1"/>
    <tableColumn id="12" xr3:uid="{759B9C21-34DB-4E63-8E55-483596D136E7}" name="C.REGION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5"/>
  <sheetViews>
    <sheetView view="pageBreakPreview" topLeftCell="A59" zoomScale="60" zoomScaleNormal="60" workbookViewId="0">
      <selection activeCell="I75" sqref="I75"/>
    </sheetView>
  </sheetViews>
  <sheetFormatPr baseColWidth="10" defaultRowHeight="15" x14ac:dyDescent="0.25"/>
  <cols>
    <col min="1" max="1" width="15.7109375" customWidth="1"/>
    <col min="2" max="3" width="26.85546875" customWidth="1"/>
    <col min="4" max="4" width="49.28515625" customWidth="1"/>
    <col min="5" max="5" width="38.28515625" customWidth="1"/>
    <col min="6" max="6" width="23.5703125" customWidth="1"/>
    <col min="7" max="7" width="56.7109375" customWidth="1"/>
    <col min="8" max="8" width="24.28515625" customWidth="1"/>
    <col min="9" max="9" width="45" customWidth="1"/>
    <col min="10" max="10" width="20" style="80" customWidth="1"/>
    <col min="11" max="11" width="28.42578125" customWidth="1"/>
    <col min="12" max="12" width="27.140625" customWidth="1"/>
    <col min="13" max="13" width="25.140625" customWidth="1"/>
    <col min="14" max="14" width="29.5703125" customWidth="1"/>
    <col min="15" max="15" width="26.140625" customWidth="1"/>
    <col min="17" max="17" width="20.42578125" bestFit="1" customWidth="1"/>
    <col min="18" max="18" width="19.28515625" bestFit="1" customWidth="1"/>
  </cols>
  <sheetData>
    <row r="1" spans="1:14" ht="26.25" customHeight="1" x14ac:dyDescent="0.25">
      <c r="A1" s="261" t="s">
        <v>256</v>
      </c>
      <c r="B1" s="261"/>
      <c r="C1" s="261"/>
      <c r="D1" s="261"/>
      <c r="E1" s="261"/>
      <c r="F1" s="261"/>
      <c r="G1" s="261"/>
      <c r="H1" s="261"/>
      <c r="I1" s="261"/>
      <c r="J1" s="186"/>
      <c r="K1" s="186"/>
      <c r="L1" s="186"/>
      <c r="M1" s="186"/>
      <c r="N1" s="186"/>
    </row>
    <row r="2" spans="1:14" ht="15" customHeight="1" x14ac:dyDescent="0.25">
      <c r="A2" s="261"/>
      <c r="B2" s="261"/>
      <c r="C2" s="261"/>
      <c r="D2" s="261"/>
      <c r="E2" s="261"/>
      <c r="F2" s="261"/>
      <c r="G2" s="261"/>
      <c r="H2" s="261"/>
      <c r="I2" s="261"/>
      <c r="J2" s="186"/>
      <c r="K2" s="186"/>
      <c r="L2" s="186"/>
      <c r="M2" s="186"/>
      <c r="N2" s="186"/>
    </row>
    <row r="3" spans="1:14" ht="15" customHeight="1" x14ac:dyDescent="0.25">
      <c r="A3" s="261"/>
      <c r="B3" s="261"/>
      <c r="C3" s="261"/>
      <c r="D3" s="261"/>
      <c r="E3" s="261"/>
      <c r="F3" s="261"/>
      <c r="G3" s="261"/>
      <c r="H3" s="261"/>
      <c r="I3" s="261"/>
      <c r="J3" s="186"/>
      <c r="K3" s="186"/>
      <c r="L3" s="186"/>
      <c r="M3" s="186"/>
      <c r="N3" s="186"/>
    </row>
    <row r="4" spans="1:14" ht="15" customHeight="1" x14ac:dyDescent="0.25">
      <c r="A4" s="261"/>
      <c r="B4" s="261"/>
      <c r="C4" s="261"/>
      <c r="D4" s="261"/>
      <c r="E4" s="261"/>
      <c r="F4" s="261"/>
      <c r="G4" s="261"/>
      <c r="H4" s="261"/>
      <c r="I4" s="261"/>
      <c r="J4" s="186"/>
      <c r="K4" s="186"/>
      <c r="L4" s="186"/>
      <c r="M4" s="186"/>
      <c r="N4" s="186"/>
    </row>
    <row r="5" spans="1:14" ht="15" customHeight="1" x14ac:dyDescent="0.25">
      <c r="A5" s="261"/>
      <c r="B5" s="261"/>
      <c r="C5" s="261"/>
      <c r="D5" s="261"/>
      <c r="E5" s="261"/>
      <c r="F5" s="261"/>
      <c r="G5" s="261"/>
      <c r="H5" s="261"/>
      <c r="I5" s="261"/>
      <c r="J5" s="186"/>
      <c r="K5" s="186"/>
      <c r="L5" s="186"/>
      <c r="M5" s="186"/>
      <c r="N5" s="186"/>
    </row>
    <row r="6" spans="1:14" ht="15" customHeight="1" x14ac:dyDescent="0.25">
      <c r="A6" s="261"/>
      <c r="B6" s="261"/>
      <c r="C6" s="261"/>
      <c r="D6" s="261"/>
      <c r="E6" s="261"/>
      <c r="F6" s="261"/>
      <c r="G6" s="261"/>
      <c r="H6" s="261"/>
      <c r="I6" s="261"/>
      <c r="J6" s="186"/>
      <c r="K6" s="186"/>
      <c r="L6" s="186"/>
      <c r="M6" s="186"/>
      <c r="N6" s="186"/>
    </row>
    <row r="7" spans="1:14" ht="78" customHeight="1" x14ac:dyDescent="0.25">
      <c r="A7" s="262"/>
      <c r="B7" s="262"/>
      <c r="C7" s="262"/>
      <c r="D7" s="262"/>
      <c r="E7" s="262"/>
      <c r="F7" s="262"/>
      <c r="G7" s="262"/>
      <c r="H7" s="262"/>
      <c r="I7" s="262"/>
      <c r="J7" s="187"/>
      <c r="K7" s="187"/>
      <c r="L7" s="187"/>
      <c r="M7" s="187"/>
      <c r="N7" s="187"/>
    </row>
    <row r="8" spans="1:14" ht="84" customHeight="1" x14ac:dyDescent="0.25">
      <c r="A8" s="139" t="s">
        <v>0</v>
      </c>
      <c r="B8" s="110" t="s">
        <v>1</v>
      </c>
      <c r="C8" s="111" t="s">
        <v>2</v>
      </c>
      <c r="D8" s="110" t="s">
        <v>3</v>
      </c>
      <c r="E8" s="110" t="s">
        <v>4</v>
      </c>
      <c r="F8" s="110" t="s">
        <v>5</v>
      </c>
      <c r="G8" s="110" t="s">
        <v>6</v>
      </c>
      <c r="H8" s="112" t="s">
        <v>7</v>
      </c>
      <c r="I8" s="111" t="s">
        <v>8</v>
      </c>
      <c r="J8"/>
    </row>
    <row r="9" spans="1:14" x14ac:dyDescent="0.25">
      <c r="A9" s="147" t="s">
        <v>9</v>
      </c>
      <c r="B9" s="148" t="s">
        <v>10</v>
      </c>
      <c r="C9" s="149" t="s">
        <v>12</v>
      </c>
      <c r="D9" s="147" t="s">
        <v>15</v>
      </c>
      <c r="E9" s="147" t="s">
        <v>16</v>
      </c>
      <c r="F9" s="150">
        <v>14</v>
      </c>
      <c r="G9" s="147" t="s">
        <v>11</v>
      </c>
      <c r="H9" s="151">
        <v>709</v>
      </c>
      <c r="I9" s="152">
        <v>24400000</v>
      </c>
      <c r="J9"/>
    </row>
    <row r="10" spans="1:14" x14ac:dyDescent="0.25">
      <c r="A10" s="147" t="s">
        <v>9</v>
      </c>
      <c r="B10" s="148" t="s">
        <v>10</v>
      </c>
      <c r="C10" s="149" t="s">
        <v>13</v>
      </c>
      <c r="D10" s="147" t="s">
        <v>17</v>
      </c>
      <c r="E10" s="147" t="s">
        <v>18</v>
      </c>
      <c r="F10" s="150">
        <v>15</v>
      </c>
      <c r="G10" s="147" t="s">
        <v>11</v>
      </c>
      <c r="H10" s="151">
        <v>1760</v>
      </c>
      <c r="I10" s="152">
        <v>15000000</v>
      </c>
      <c r="J10"/>
    </row>
    <row r="11" spans="1:14" x14ac:dyDescent="0.25">
      <c r="A11" s="52"/>
      <c r="B11" s="113" t="s">
        <v>20</v>
      </c>
      <c r="C11" s="114"/>
      <c r="D11" s="113"/>
      <c r="E11" s="113"/>
      <c r="F11" s="54"/>
      <c r="G11" s="55"/>
      <c r="H11" s="66"/>
      <c r="I11" s="56">
        <f>SUM(I9:I10)</f>
        <v>39400000</v>
      </c>
      <c r="J11"/>
    </row>
    <row r="12" spans="1:14" hidden="1" x14ac:dyDescent="0.25">
      <c r="A12" s="1" t="s">
        <v>9</v>
      </c>
      <c r="B12" s="57" t="s">
        <v>21</v>
      </c>
      <c r="C12" s="3" t="s">
        <v>22</v>
      </c>
      <c r="D12" s="1" t="s">
        <v>23</v>
      </c>
      <c r="E12" s="1" t="s">
        <v>24</v>
      </c>
      <c r="F12" s="53">
        <v>0</v>
      </c>
      <c r="G12" s="1" t="s">
        <v>25</v>
      </c>
      <c r="H12" s="65">
        <v>17</v>
      </c>
      <c r="I12" s="53">
        <v>368701.85473193944</v>
      </c>
      <c r="J12"/>
    </row>
    <row r="13" spans="1:14" hidden="1" x14ac:dyDescent="0.25">
      <c r="A13" s="1" t="s">
        <v>9</v>
      </c>
      <c r="B13" s="57" t="s">
        <v>21</v>
      </c>
      <c r="C13" s="3" t="s">
        <v>22</v>
      </c>
      <c r="D13" s="1" t="s">
        <v>26</v>
      </c>
      <c r="E13" s="1" t="s">
        <v>24</v>
      </c>
      <c r="F13" s="53">
        <v>0</v>
      </c>
      <c r="G13" s="1" t="s">
        <v>25</v>
      </c>
      <c r="H13" s="65">
        <v>21</v>
      </c>
      <c r="I13" s="53">
        <v>559503.31631136057</v>
      </c>
      <c r="J13"/>
    </row>
    <row r="14" spans="1:14" hidden="1" x14ac:dyDescent="0.25">
      <c r="A14" s="1" t="s">
        <v>9</v>
      </c>
      <c r="B14" s="57" t="s">
        <v>21</v>
      </c>
      <c r="C14" s="3" t="s">
        <v>22</v>
      </c>
      <c r="D14" s="1" t="s">
        <v>27</v>
      </c>
      <c r="E14" s="1" t="s">
        <v>24</v>
      </c>
      <c r="F14" s="53">
        <v>0</v>
      </c>
      <c r="G14" s="1" t="s">
        <v>25</v>
      </c>
      <c r="H14" s="65">
        <v>56</v>
      </c>
      <c r="I14" s="53">
        <v>1243182.1393374777</v>
      </c>
      <c r="J14"/>
    </row>
    <row r="15" spans="1:14" hidden="1" x14ac:dyDescent="0.25">
      <c r="A15" s="1" t="s">
        <v>9</v>
      </c>
      <c r="B15" s="57" t="s">
        <v>21</v>
      </c>
      <c r="C15" s="3" t="s">
        <v>22</v>
      </c>
      <c r="D15" s="1" t="s">
        <v>28</v>
      </c>
      <c r="E15" s="1" t="s">
        <v>24</v>
      </c>
      <c r="F15" s="53">
        <v>0</v>
      </c>
      <c r="G15" s="1" t="s">
        <v>25</v>
      </c>
      <c r="H15" s="65">
        <v>45</v>
      </c>
      <c r="I15" s="53">
        <v>1300231.8117334582</v>
      </c>
      <c r="J15"/>
    </row>
    <row r="16" spans="1:14" hidden="1" x14ac:dyDescent="0.25">
      <c r="A16" s="1" t="s">
        <v>9</v>
      </c>
      <c r="B16" s="57" t="s">
        <v>21</v>
      </c>
      <c r="C16" s="3" t="s">
        <v>22</v>
      </c>
      <c r="D16" s="1" t="s">
        <v>29</v>
      </c>
      <c r="E16" s="1" t="s">
        <v>24</v>
      </c>
      <c r="F16" s="53">
        <v>0</v>
      </c>
      <c r="G16" s="1" t="s">
        <v>25</v>
      </c>
      <c r="H16" s="65">
        <v>47</v>
      </c>
      <c r="I16" s="53">
        <v>1381278.1044940613</v>
      </c>
      <c r="J16"/>
    </row>
    <row r="17" spans="1:10" hidden="1" x14ac:dyDescent="0.25">
      <c r="A17" s="1" t="s">
        <v>9</v>
      </c>
      <c r="B17" s="57" t="s">
        <v>21</v>
      </c>
      <c r="C17" s="3" t="s">
        <v>14</v>
      </c>
      <c r="D17" s="1" t="s">
        <v>30</v>
      </c>
      <c r="E17" s="1" t="s">
        <v>24</v>
      </c>
      <c r="F17" s="53">
        <v>0</v>
      </c>
      <c r="G17" s="1" t="s">
        <v>25</v>
      </c>
      <c r="H17" s="65">
        <v>15</v>
      </c>
      <c r="I17" s="53">
        <v>369007.02547998063</v>
      </c>
      <c r="J17"/>
    </row>
    <row r="18" spans="1:10" hidden="1" x14ac:dyDescent="0.25">
      <c r="A18" s="1" t="s">
        <v>9</v>
      </c>
      <c r="B18" s="57" t="s">
        <v>21</v>
      </c>
      <c r="C18" s="3" t="s">
        <v>31</v>
      </c>
      <c r="D18" s="1" t="s">
        <v>32</v>
      </c>
      <c r="E18" s="1" t="s">
        <v>24</v>
      </c>
      <c r="F18" s="53">
        <v>0</v>
      </c>
      <c r="G18" s="1" t="s">
        <v>25</v>
      </c>
      <c r="H18" s="65">
        <v>8</v>
      </c>
      <c r="I18" s="53">
        <v>188264.63307691578</v>
      </c>
      <c r="J18"/>
    </row>
    <row r="19" spans="1:10" hidden="1" x14ac:dyDescent="0.25">
      <c r="A19" s="1" t="s">
        <v>9</v>
      </c>
      <c r="B19" s="57" t="s">
        <v>21</v>
      </c>
      <c r="C19" s="3" t="s">
        <v>31</v>
      </c>
      <c r="D19" s="1" t="s">
        <v>33</v>
      </c>
      <c r="E19" s="1" t="s">
        <v>24</v>
      </c>
      <c r="F19" s="53">
        <v>0</v>
      </c>
      <c r="G19" s="1" t="s">
        <v>25</v>
      </c>
      <c r="H19" s="65">
        <v>13</v>
      </c>
      <c r="I19" s="53">
        <v>305105.38307904097</v>
      </c>
      <c r="J19"/>
    </row>
    <row r="20" spans="1:10" hidden="1" x14ac:dyDescent="0.25">
      <c r="A20" s="1" t="s">
        <v>9</v>
      </c>
      <c r="B20" s="57" t="s">
        <v>21</v>
      </c>
      <c r="C20" s="3" t="s">
        <v>34</v>
      </c>
      <c r="D20" s="1" t="s">
        <v>35</v>
      </c>
      <c r="E20" s="1" t="s">
        <v>24</v>
      </c>
      <c r="F20" s="53">
        <v>0</v>
      </c>
      <c r="G20" s="1" t="s">
        <v>25</v>
      </c>
      <c r="H20" s="65">
        <v>46</v>
      </c>
      <c r="I20" s="53">
        <v>1084873.9332228315</v>
      </c>
      <c r="J20"/>
    </row>
    <row r="21" spans="1:10" hidden="1" x14ac:dyDescent="0.25">
      <c r="A21" s="1" t="s">
        <v>9</v>
      </c>
      <c r="B21" s="57" t="s">
        <v>21</v>
      </c>
      <c r="C21" s="3" t="s">
        <v>34</v>
      </c>
      <c r="D21" s="1" t="s">
        <v>36</v>
      </c>
      <c r="E21" s="1" t="s">
        <v>24</v>
      </c>
      <c r="F21" s="53">
        <v>0</v>
      </c>
      <c r="G21" s="1" t="s">
        <v>25</v>
      </c>
      <c r="H21" s="65">
        <v>49</v>
      </c>
      <c r="I21" s="53">
        <v>1214360.4068079675</v>
      </c>
      <c r="J21"/>
    </row>
    <row r="22" spans="1:10" hidden="1" x14ac:dyDescent="0.25">
      <c r="A22" s="1" t="s">
        <v>9</v>
      </c>
      <c r="B22" s="57" t="s">
        <v>21</v>
      </c>
      <c r="C22" s="3" t="s">
        <v>34</v>
      </c>
      <c r="D22" s="1" t="s">
        <v>37</v>
      </c>
      <c r="E22" s="1" t="s">
        <v>24</v>
      </c>
      <c r="F22" s="53">
        <v>0</v>
      </c>
      <c r="G22" s="1" t="s">
        <v>25</v>
      </c>
      <c r="H22" s="65">
        <v>22</v>
      </c>
      <c r="I22" s="53">
        <v>81516.367166988945</v>
      </c>
      <c r="J22"/>
    </row>
    <row r="23" spans="1:10" hidden="1" x14ac:dyDescent="0.25">
      <c r="A23" s="1" t="s">
        <v>9</v>
      </c>
      <c r="B23" s="57" t="s">
        <v>21</v>
      </c>
      <c r="C23" s="3" t="s">
        <v>38</v>
      </c>
      <c r="D23" s="1" t="s">
        <v>39</v>
      </c>
      <c r="E23" s="1" t="s">
        <v>24</v>
      </c>
      <c r="F23" s="53">
        <v>0</v>
      </c>
      <c r="G23" s="1" t="s">
        <v>25</v>
      </c>
      <c r="H23" s="65">
        <v>9</v>
      </c>
      <c r="I23" s="53">
        <v>238482.44297946949</v>
      </c>
      <c r="J23"/>
    </row>
    <row r="24" spans="1:10" hidden="1" x14ac:dyDescent="0.25">
      <c r="A24" s="1" t="s">
        <v>9</v>
      </c>
      <c r="B24" s="57" t="s">
        <v>21</v>
      </c>
      <c r="C24" s="3" t="s">
        <v>40</v>
      </c>
      <c r="D24" s="1" t="s">
        <v>41</v>
      </c>
      <c r="E24" s="1" t="s">
        <v>24</v>
      </c>
      <c r="F24" s="53">
        <v>0</v>
      </c>
      <c r="G24" s="1" t="s">
        <v>25</v>
      </c>
      <c r="H24" s="65">
        <v>14</v>
      </c>
      <c r="I24" s="53">
        <v>314277.14257221029</v>
      </c>
      <c r="J24"/>
    </row>
    <row r="25" spans="1:10" ht="27.75" hidden="1" customHeight="1" x14ac:dyDescent="0.25">
      <c r="A25" s="1" t="s">
        <v>9</v>
      </c>
      <c r="B25" s="57" t="s">
        <v>21</v>
      </c>
      <c r="C25" s="3" t="s">
        <v>42</v>
      </c>
      <c r="D25" s="1" t="s">
        <v>43</v>
      </c>
      <c r="E25" s="1" t="s">
        <v>24</v>
      </c>
      <c r="F25" s="53">
        <v>0</v>
      </c>
      <c r="G25" s="1" t="s">
        <v>25</v>
      </c>
      <c r="H25" s="65">
        <v>33</v>
      </c>
      <c r="I25" s="53">
        <v>958920.64811981237</v>
      </c>
      <c r="J25"/>
    </row>
    <row r="26" spans="1:10" hidden="1" x14ac:dyDescent="0.25">
      <c r="A26" s="1" t="s">
        <v>9</v>
      </c>
      <c r="B26" s="57" t="s">
        <v>21</v>
      </c>
      <c r="C26" s="3" t="s">
        <v>42</v>
      </c>
      <c r="D26" s="1" t="s">
        <v>44</v>
      </c>
      <c r="E26" s="1" t="s">
        <v>24</v>
      </c>
      <c r="F26" s="53">
        <v>0</v>
      </c>
      <c r="G26" s="1" t="s">
        <v>25</v>
      </c>
      <c r="H26" s="65">
        <v>21</v>
      </c>
      <c r="I26" s="53">
        <v>556459.03361876204</v>
      </c>
      <c r="J26"/>
    </row>
    <row r="27" spans="1:10" hidden="1" x14ac:dyDescent="0.25">
      <c r="A27" s="1" t="s">
        <v>9</v>
      </c>
      <c r="B27" s="57" t="s">
        <v>21</v>
      </c>
      <c r="C27" s="3" t="s">
        <v>42</v>
      </c>
      <c r="D27" s="1" t="s">
        <v>45</v>
      </c>
      <c r="E27" s="1" t="s">
        <v>24</v>
      </c>
      <c r="F27" s="53">
        <v>0</v>
      </c>
      <c r="G27" s="1" t="s">
        <v>25</v>
      </c>
      <c r="H27" s="65">
        <v>55</v>
      </c>
      <c r="I27" s="53">
        <v>1334440.6210825592</v>
      </c>
      <c r="J27"/>
    </row>
    <row r="28" spans="1:10" hidden="1" x14ac:dyDescent="0.25">
      <c r="A28" s="1" t="s">
        <v>9</v>
      </c>
      <c r="B28" s="57" t="s">
        <v>21</v>
      </c>
      <c r="C28" s="3" t="s">
        <v>42</v>
      </c>
      <c r="D28" s="1" t="s">
        <v>46</v>
      </c>
      <c r="E28" s="1" t="s">
        <v>24</v>
      </c>
      <c r="F28" s="53">
        <v>0</v>
      </c>
      <c r="G28" s="1" t="s">
        <v>25</v>
      </c>
      <c r="H28" s="65">
        <v>25</v>
      </c>
      <c r="I28" s="53">
        <v>521832.69164307247</v>
      </c>
      <c r="J28"/>
    </row>
    <row r="29" spans="1:10" hidden="1" x14ac:dyDescent="0.25">
      <c r="A29" s="1" t="s">
        <v>9</v>
      </c>
      <c r="B29" s="57" t="s">
        <v>21</v>
      </c>
      <c r="C29" s="3" t="s">
        <v>42</v>
      </c>
      <c r="D29" s="1" t="s">
        <v>47</v>
      </c>
      <c r="E29" s="1" t="s">
        <v>24</v>
      </c>
      <c r="F29" s="53">
        <v>0</v>
      </c>
      <c r="G29" s="1" t="s">
        <v>25</v>
      </c>
      <c r="H29" s="65">
        <v>18</v>
      </c>
      <c r="I29" s="53">
        <v>473619.48717058217</v>
      </c>
      <c r="J29"/>
    </row>
    <row r="30" spans="1:10" hidden="1" x14ac:dyDescent="0.25">
      <c r="A30" s="1" t="s">
        <v>9</v>
      </c>
      <c r="B30" s="57" t="s">
        <v>21</v>
      </c>
      <c r="C30" s="3" t="s">
        <v>12</v>
      </c>
      <c r="D30" s="1" t="s">
        <v>48</v>
      </c>
      <c r="E30" s="1" t="s">
        <v>24</v>
      </c>
      <c r="F30" s="53">
        <v>0</v>
      </c>
      <c r="G30" s="1" t="s">
        <v>25</v>
      </c>
      <c r="H30" s="65">
        <v>19</v>
      </c>
      <c r="I30" s="53">
        <v>425054.5458487529</v>
      </c>
      <c r="J30"/>
    </row>
    <row r="31" spans="1:10" hidden="1" x14ac:dyDescent="0.25">
      <c r="A31" s="1" t="s">
        <v>9</v>
      </c>
      <c r="B31" s="57" t="s">
        <v>21</v>
      </c>
      <c r="C31" s="3" t="s">
        <v>49</v>
      </c>
      <c r="D31" s="1" t="s">
        <v>50</v>
      </c>
      <c r="E31" s="1" t="s">
        <v>51</v>
      </c>
      <c r="F31" s="53">
        <v>0</v>
      </c>
      <c r="G31" s="1" t="s">
        <v>52</v>
      </c>
      <c r="H31" s="65"/>
      <c r="I31" s="53">
        <v>326968.41152275598</v>
      </c>
      <c r="J31"/>
    </row>
    <row r="32" spans="1:10" hidden="1" x14ac:dyDescent="0.25">
      <c r="A32" s="90"/>
      <c r="B32" s="90" t="s">
        <v>53</v>
      </c>
      <c r="C32" s="90"/>
      <c r="D32" s="115"/>
      <c r="E32" s="115"/>
      <c r="F32" s="58"/>
      <c r="G32" s="59"/>
      <c r="H32" s="67"/>
      <c r="I32" s="60">
        <f>SUM(I12:I31)</f>
        <v>13246079.999999998</v>
      </c>
      <c r="J32"/>
    </row>
    <row r="33" spans="1:10" x14ac:dyDescent="0.25">
      <c r="A33" s="1" t="s">
        <v>9</v>
      </c>
      <c r="B33" s="61" t="s">
        <v>54</v>
      </c>
      <c r="C33" s="116" t="s">
        <v>49</v>
      </c>
      <c r="D33" s="62" t="s">
        <v>55</v>
      </c>
      <c r="E33" s="62" t="s">
        <v>56</v>
      </c>
      <c r="F33" s="53">
        <v>0</v>
      </c>
      <c r="G33" s="63"/>
      <c r="H33" s="65"/>
      <c r="I33" s="53"/>
      <c r="J33"/>
    </row>
    <row r="34" spans="1:10" ht="123.75" customHeight="1" x14ac:dyDescent="0.25">
      <c r="A34" s="1" t="s">
        <v>9</v>
      </c>
      <c r="B34" s="153" t="s">
        <v>54</v>
      </c>
      <c r="C34" s="3" t="s">
        <v>12</v>
      </c>
      <c r="D34" s="1" t="s">
        <v>57</v>
      </c>
      <c r="E34" s="1" t="s">
        <v>58</v>
      </c>
      <c r="F34" s="53">
        <v>0</v>
      </c>
      <c r="G34" s="1" t="s">
        <v>59</v>
      </c>
      <c r="H34" s="65">
        <v>3000</v>
      </c>
      <c r="I34" s="53">
        <v>2283760.0299999998</v>
      </c>
      <c r="J34"/>
    </row>
    <row r="35" spans="1:10" ht="60" x14ac:dyDescent="0.25">
      <c r="A35" s="1" t="s">
        <v>9</v>
      </c>
      <c r="B35" s="153" t="s">
        <v>54</v>
      </c>
      <c r="C35" s="3" t="s">
        <v>40</v>
      </c>
      <c r="D35" s="1" t="s">
        <v>62</v>
      </c>
      <c r="E35" s="1" t="s">
        <v>60</v>
      </c>
      <c r="F35" s="53">
        <v>0</v>
      </c>
      <c r="G35" s="1" t="s">
        <v>61</v>
      </c>
      <c r="H35" s="65">
        <v>4000</v>
      </c>
      <c r="I35" s="53">
        <v>7000000</v>
      </c>
      <c r="J35"/>
    </row>
    <row r="36" spans="1:10" ht="45" x14ac:dyDescent="0.25">
      <c r="A36" s="1" t="s">
        <v>9</v>
      </c>
      <c r="B36" s="153" t="s">
        <v>54</v>
      </c>
      <c r="C36" s="3" t="s">
        <v>63</v>
      </c>
      <c r="D36" s="1" t="s">
        <v>64</v>
      </c>
      <c r="E36" s="1" t="s">
        <v>65</v>
      </c>
      <c r="F36" s="53">
        <v>0</v>
      </c>
      <c r="G36" s="1" t="s">
        <v>61</v>
      </c>
      <c r="H36" s="65">
        <v>3120</v>
      </c>
      <c r="I36" s="53">
        <v>788149.97</v>
      </c>
      <c r="J36"/>
    </row>
    <row r="37" spans="1:10" ht="33" customHeight="1" x14ac:dyDescent="0.25">
      <c r="A37" s="157" t="s">
        <v>255</v>
      </c>
      <c r="B37" s="157"/>
      <c r="C37" s="158"/>
      <c r="D37" s="157"/>
      <c r="E37" s="157"/>
      <c r="F37" s="159"/>
      <c r="G37" s="157"/>
      <c r="H37" s="160"/>
      <c r="I37" s="154">
        <v>10071910</v>
      </c>
      <c r="J37"/>
    </row>
    <row r="38" spans="1:10" ht="15.75" x14ac:dyDescent="0.25">
      <c r="A38" s="155" t="s">
        <v>254</v>
      </c>
      <c r="B38" s="155"/>
      <c r="C38" s="156"/>
      <c r="D38" s="155"/>
      <c r="E38" s="155"/>
      <c r="F38" s="81"/>
      <c r="G38" s="155"/>
      <c r="H38" s="82"/>
      <c r="I38" s="81">
        <f>I11+I32+I37</f>
        <v>62717990</v>
      </c>
      <c r="J38"/>
    </row>
    <row r="39" spans="1:10" ht="25.5" x14ac:dyDescent="0.25">
      <c r="A39" s="5" t="s">
        <v>69</v>
      </c>
      <c r="B39" s="7" t="s">
        <v>10</v>
      </c>
      <c r="C39" s="8" t="s">
        <v>70</v>
      </c>
      <c r="D39" s="8" t="s">
        <v>71</v>
      </c>
      <c r="E39" s="8" t="s">
        <v>72</v>
      </c>
      <c r="F39" s="4">
        <v>8</v>
      </c>
      <c r="G39" s="8" t="s">
        <v>11</v>
      </c>
      <c r="H39" s="53">
        <v>2000</v>
      </c>
      <c r="I39" s="53">
        <v>8000000</v>
      </c>
      <c r="J39"/>
    </row>
    <row r="40" spans="1:10" ht="38.25" x14ac:dyDescent="0.25">
      <c r="A40" s="5" t="s">
        <v>69</v>
      </c>
      <c r="B40" s="7" t="s">
        <v>10</v>
      </c>
      <c r="C40" s="8" t="s">
        <v>73</v>
      </c>
      <c r="D40" s="8" t="s">
        <v>74</v>
      </c>
      <c r="E40" s="8" t="s">
        <v>122</v>
      </c>
      <c r="F40" s="4">
        <v>10</v>
      </c>
      <c r="G40" s="8" t="s">
        <v>19</v>
      </c>
      <c r="H40" s="53">
        <v>655</v>
      </c>
      <c r="I40" s="53">
        <v>6000000</v>
      </c>
      <c r="J40"/>
    </row>
    <row r="41" spans="1:10" ht="25.5" x14ac:dyDescent="0.25">
      <c r="A41" s="5" t="s">
        <v>69</v>
      </c>
      <c r="B41" s="7" t="s">
        <v>10</v>
      </c>
      <c r="C41" s="8" t="s">
        <v>75</v>
      </c>
      <c r="D41" s="8" t="s">
        <v>76</v>
      </c>
      <c r="E41" s="8" t="s">
        <v>123</v>
      </c>
      <c r="F41" s="4">
        <v>3.6</v>
      </c>
      <c r="G41" s="8" t="s">
        <v>11</v>
      </c>
      <c r="H41" s="53">
        <v>560</v>
      </c>
      <c r="I41" s="53">
        <v>2283548.66</v>
      </c>
      <c r="J41"/>
    </row>
    <row r="42" spans="1:10" ht="75.75" customHeight="1" x14ac:dyDescent="0.25">
      <c r="A42" s="5" t="s">
        <v>69</v>
      </c>
      <c r="B42" s="7" t="s">
        <v>10</v>
      </c>
      <c r="C42" s="8" t="s">
        <v>77</v>
      </c>
      <c r="D42" s="8" t="s">
        <v>78</v>
      </c>
      <c r="E42" s="8" t="s">
        <v>124</v>
      </c>
      <c r="F42" s="4">
        <v>20</v>
      </c>
      <c r="G42" s="8" t="s">
        <v>11</v>
      </c>
      <c r="H42" s="53">
        <v>6500</v>
      </c>
      <c r="I42" s="53">
        <v>10000000</v>
      </c>
      <c r="J42"/>
    </row>
    <row r="43" spans="1:10" ht="63.75" x14ac:dyDescent="0.25">
      <c r="A43" s="5" t="s">
        <v>69</v>
      </c>
      <c r="B43" s="7" t="s">
        <v>10</v>
      </c>
      <c r="C43" s="8" t="s">
        <v>79</v>
      </c>
      <c r="D43" s="8" t="s">
        <v>80</v>
      </c>
      <c r="E43" s="8" t="s">
        <v>125</v>
      </c>
      <c r="F43" s="4">
        <v>7</v>
      </c>
      <c r="G43" s="8" t="s">
        <v>19</v>
      </c>
      <c r="H43" s="53">
        <v>7800</v>
      </c>
      <c r="I43" s="53">
        <v>7231126.7999999998</v>
      </c>
      <c r="J43"/>
    </row>
    <row r="44" spans="1:10" ht="38.25" x14ac:dyDescent="0.25">
      <c r="A44" s="5" t="s">
        <v>69</v>
      </c>
      <c r="B44" s="7" t="s">
        <v>10</v>
      </c>
      <c r="C44" s="8" t="s">
        <v>81</v>
      </c>
      <c r="D44" s="8" t="s">
        <v>82</v>
      </c>
      <c r="E44" s="8" t="s">
        <v>126</v>
      </c>
      <c r="F44" s="4">
        <v>12</v>
      </c>
      <c r="G44" s="8" t="s">
        <v>11</v>
      </c>
      <c r="H44" s="53">
        <v>3400</v>
      </c>
      <c r="I44" s="53">
        <v>9046644.8100000005</v>
      </c>
      <c r="J44"/>
    </row>
    <row r="45" spans="1:10" ht="25.5" x14ac:dyDescent="0.25">
      <c r="A45" s="9" t="s">
        <v>69</v>
      </c>
      <c r="B45" s="10" t="s">
        <v>10</v>
      </c>
      <c r="C45" s="6" t="s">
        <v>83</v>
      </c>
      <c r="D45" s="6" t="s">
        <v>84</v>
      </c>
      <c r="E45" s="6" t="s">
        <v>127</v>
      </c>
      <c r="F45" s="4">
        <v>6</v>
      </c>
      <c r="G45" s="6" t="s">
        <v>19</v>
      </c>
      <c r="H45" s="53">
        <v>3000</v>
      </c>
      <c r="I45" s="53">
        <v>3000000</v>
      </c>
      <c r="J45"/>
    </row>
    <row r="46" spans="1:10" x14ac:dyDescent="0.25">
      <c r="A46" s="5" t="s">
        <v>69</v>
      </c>
      <c r="B46" s="7" t="s">
        <v>10</v>
      </c>
      <c r="C46" s="12" t="s">
        <v>85</v>
      </c>
      <c r="D46" s="12" t="s">
        <v>85</v>
      </c>
      <c r="E46" s="8" t="s">
        <v>86</v>
      </c>
      <c r="F46" s="4"/>
      <c r="G46" s="8" t="s">
        <v>68</v>
      </c>
      <c r="H46" s="53">
        <v>6500</v>
      </c>
      <c r="I46" s="53">
        <v>0</v>
      </c>
      <c r="J46"/>
    </row>
    <row r="47" spans="1:10" ht="36" customHeight="1" x14ac:dyDescent="0.25">
      <c r="A47" s="117"/>
      <c r="B47" s="118" t="s">
        <v>87</v>
      </c>
      <c r="C47" s="119"/>
      <c r="D47" s="120"/>
      <c r="E47" s="120"/>
      <c r="F47" s="120"/>
      <c r="G47" s="120"/>
      <c r="H47" s="106"/>
      <c r="I47" s="105">
        <f>SUM(I39:I46)</f>
        <v>45561320.270000003</v>
      </c>
      <c r="J47"/>
    </row>
    <row r="48" spans="1:10" ht="33" hidden="1" customHeight="1" x14ac:dyDescent="0.25">
      <c r="A48" s="13" t="s">
        <v>69</v>
      </c>
      <c r="B48" s="14" t="s">
        <v>88</v>
      </c>
      <c r="C48" s="15" t="s">
        <v>89</v>
      </c>
      <c r="D48" s="15" t="s">
        <v>90</v>
      </c>
      <c r="E48" s="16" t="s">
        <v>24</v>
      </c>
      <c r="F48" s="4"/>
      <c r="G48" s="16" t="s">
        <v>25</v>
      </c>
      <c r="H48" s="68">
        <v>13</v>
      </c>
      <c r="I48" s="17">
        <v>25660.791896532886</v>
      </c>
      <c r="J48"/>
    </row>
    <row r="49" spans="1:10" ht="36" hidden="1" customHeight="1" x14ac:dyDescent="0.25">
      <c r="A49" s="13" t="s">
        <v>69</v>
      </c>
      <c r="B49" s="14" t="s">
        <v>88</v>
      </c>
      <c r="C49" s="19" t="s">
        <v>91</v>
      </c>
      <c r="D49" s="19" t="s">
        <v>92</v>
      </c>
      <c r="E49" s="20" t="s">
        <v>24</v>
      </c>
      <c r="F49" s="4"/>
      <c r="G49" s="20" t="s">
        <v>25</v>
      </c>
      <c r="H49" s="68">
        <v>38</v>
      </c>
      <c r="I49" s="18">
        <v>2147692.0035606222</v>
      </c>
      <c r="J49"/>
    </row>
    <row r="50" spans="1:10" ht="27.75" hidden="1" customHeight="1" x14ac:dyDescent="0.25">
      <c r="A50" s="13" t="s">
        <v>69</v>
      </c>
      <c r="B50" s="14" t="s">
        <v>88</v>
      </c>
      <c r="C50" s="15" t="s">
        <v>93</v>
      </c>
      <c r="D50" s="15" t="s">
        <v>94</v>
      </c>
      <c r="E50" s="16" t="s">
        <v>24</v>
      </c>
      <c r="F50" s="4"/>
      <c r="G50" s="16" t="s">
        <v>25</v>
      </c>
      <c r="H50" s="68">
        <v>27</v>
      </c>
      <c r="I50" s="17">
        <v>820856.93020184629</v>
      </c>
      <c r="J50"/>
    </row>
    <row r="51" spans="1:10" ht="36.75" hidden="1" customHeight="1" x14ac:dyDescent="0.25">
      <c r="A51" s="13" t="s">
        <v>69</v>
      </c>
      <c r="B51" s="14" t="s">
        <v>88</v>
      </c>
      <c r="C51" s="15" t="s">
        <v>95</v>
      </c>
      <c r="D51" s="15" t="s">
        <v>96</v>
      </c>
      <c r="E51" s="16" t="s">
        <v>24</v>
      </c>
      <c r="F51" s="4"/>
      <c r="G51" s="16" t="s">
        <v>25</v>
      </c>
      <c r="H51" s="68">
        <v>35</v>
      </c>
      <c r="I51" s="17">
        <v>198948.54660044878</v>
      </c>
      <c r="J51"/>
    </row>
    <row r="52" spans="1:10" ht="31.5" hidden="1" customHeight="1" x14ac:dyDescent="0.25">
      <c r="A52" s="13" t="s">
        <v>69</v>
      </c>
      <c r="B52" s="14" t="s">
        <v>88</v>
      </c>
      <c r="C52" s="19" t="s">
        <v>95</v>
      </c>
      <c r="D52" s="19" t="s">
        <v>97</v>
      </c>
      <c r="E52" s="20" t="s">
        <v>24</v>
      </c>
      <c r="F52" s="4"/>
      <c r="G52" s="20" t="s">
        <v>25</v>
      </c>
      <c r="H52" s="68">
        <v>50</v>
      </c>
      <c r="I52" s="18">
        <v>98695.353448203401</v>
      </c>
      <c r="J52"/>
    </row>
    <row r="53" spans="1:10" ht="33.75" hidden="1" customHeight="1" x14ac:dyDescent="0.25">
      <c r="A53" s="13" t="s">
        <v>69</v>
      </c>
      <c r="B53" s="14" t="s">
        <v>88</v>
      </c>
      <c r="C53" s="19" t="s">
        <v>98</v>
      </c>
      <c r="D53" s="19" t="s">
        <v>99</v>
      </c>
      <c r="E53" s="20" t="s">
        <v>24</v>
      </c>
      <c r="F53" s="4"/>
      <c r="G53" s="20" t="s">
        <v>25</v>
      </c>
      <c r="H53" s="68">
        <v>13</v>
      </c>
      <c r="I53" s="18">
        <v>735318.42231910559</v>
      </c>
      <c r="J53"/>
    </row>
    <row r="54" spans="1:10" ht="24" hidden="1" customHeight="1" x14ac:dyDescent="0.25">
      <c r="A54" s="13" t="s">
        <v>69</v>
      </c>
      <c r="B54" s="14" t="s">
        <v>88</v>
      </c>
      <c r="C54" s="19" t="s">
        <v>49</v>
      </c>
      <c r="D54" s="19" t="s">
        <v>50</v>
      </c>
      <c r="E54" s="20" t="s">
        <v>51</v>
      </c>
      <c r="F54" s="4"/>
      <c r="G54" s="20" t="s">
        <v>52</v>
      </c>
      <c r="H54" s="69" t="s">
        <v>100</v>
      </c>
      <c r="I54" s="18">
        <v>411857.96197324153</v>
      </c>
      <c r="J54"/>
    </row>
    <row r="55" spans="1:10" ht="42" hidden="1" customHeight="1" x14ac:dyDescent="0.25">
      <c r="A55" s="121"/>
      <c r="B55" s="122" t="s">
        <v>101</v>
      </c>
      <c r="C55" s="123"/>
      <c r="D55" s="124"/>
      <c r="E55" s="125"/>
      <c r="F55" s="125"/>
      <c r="G55" s="125"/>
      <c r="H55" s="70"/>
      <c r="I55" s="21">
        <f>SUM(I48:I54)</f>
        <v>4439030.0100000007</v>
      </c>
      <c r="J55"/>
    </row>
    <row r="56" spans="1:10" ht="39" customHeight="1" x14ac:dyDescent="0.25">
      <c r="A56" s="5" t="s">
        <v>69</v>
      </c>
      <c r="B56" s="22" t="s">
        <v>54</v>
      </c>
      <c r="C56" s="6" t="s">
        <v>103</v>
      </c>
      <c r="D56" s="6" t="s">
        <v>104</v>
      </c>
      <c r="E56" s="6" t="s">
        <v>105</v>
      </c>
      <c r="F56" s="4"/>
      <c r="G56" s="6" t="s">
        <v>102</v>
      </c>
      <c r="H56" s="71">
        <v>700</v>
      </c>
      <c r="I56" s="11">
        <f>1197876.5+35720.17</f>
        <v>1233596.67</v>
      </c>
      <c r="J56"/>
    </row>
    <row r="57" spans="1:10" x14ac:dyDescent="0.25">
      <c r="A57" s="5" t="s">
        <v>69</v>
      </c>
      <c r="B57" s="22" t="s">
        <v>54</v>
      </c>
      <c r="C57" s="6" t="s">
        <v>106</v>
      </c>
      <c r="D57" s="6" t="s">
        <v>107</v>
      </c>
      <c r="E57" s="6" t="s">
        <v>108</v>
      </c>
      <c r="F57" s="4"/>
      <c r="G57" s="6" t="s">
        <v>102</v>
      </c>
      <c r="H57" s="71">
        <v>2650</v>
      </c>
      <c r="I57" s="11">
        <v>1200000</v>
      </c>
      <c r="J57"/>
    </row>
    <row r="58" spans="1:10" ht="47.25" customHeight="1" x14ac:dyDescent="0.25">
      <c r="A58" s="5" t="s">
        <v>69</v>
      </c>
      <c r="B58" s="22" t="s">
        <v>54</v>
      </c>
      <c r="C58" s="6" t="s">
        <v>103</v>
      </c>
      <c r="D58" s="6" t="s">
        <v>109</v>
      </c>
      <c r="E58" s="6" t="s">
        <v>110</v>
      </c>
      <c r="F58" s="4"/>
      <c r="G58" s="6" t="s">
        <v>102</v>
      </c>
      <c r="H58" s="71">
        <v>120</v>
      </c>
      <c r="I58" s="11">
        <v>500000</v>
      </c>
      <c r="J58"/>
    </row>
    <row r="59" spans="1:10" ht="38.25" x14ac:dyDescent="0.25">
      <c r="A59" s="5" t="s">
        <v>69</v>
      </c>
      <c r="B59" s="22" t="s">
        <v>54</v>
      </c>
      <c r="C59" s="6" t="s">
        <v>79</v>
      </c>
      <c r="D59" s="6" t="s">
        <v>111</v>
      </c>
      <c r="E59" s="6" t="s">
        <v>112</v>
      </c>
      <c r="F59" s="4"/>
      <c r="G59" s="6" t="s">
        <v>102</v>
      </c>
      <c r="H59" s="71">
        <v>780</v>
      </c>
      <c r="I59" s="11">
        <v>800000</v>
      </c>
      <c r="J59"/>
    </row>
    <row r="60" spans="1:10" x14ac:dyDescent="0.25">
      <c r="A60" s="5" t="s">
        <v>69</v>
      </c>
      <c r="B60" s="22" t="s">
        <v>54</v>
      </c>
      <c r="C60" s="6" t="s">
        <v>113</v>
      </c>
      <c r="D60" s="6" t="s">
        <v>114</v>
      </c>
      <c r="E60" s="6" t="s">
        <v>115</v>
      </c>
      <c r="F60" s="4"/>
      <c r="G60" s="6" t="s">
        <v>116</v>
      </c>
      <c r="H60" s="71">
        <v>1000</v>
      </c>
      <c r="I60" s="11">
        <v>300000</v>
      </c>
      <c r="J60"/>
    </row>
    <row r="61" spans="1:10" x14ac:dyDescent="0.25">
      <c r="A61" s="5" t="s">
        <v>69</v>
      </c>
      <c r="B61" s="22" t="s">
        <v>54</v>
      </c>
      <c r="C61" s="6" t="s">
        <v>117</v>
      </c>
      <c r="D61" s="6" t="s">
        <v>118</v>
      </c>
      <c r="E61" s="6" t="s">
        <v>119</v>
      </c>
      <c r="F61" s="4"/>
      <c r="G61" s="6" t="s">
        <v>102</v>
      </c>
      <c r="H61" s="71">
        <v>320</v>
      </c>
      <c r="I61" s="11">
        <v>0</v>
      </c>
      <c r="J61"/>
    </row>
    <row r="62" spans="1:10" x14ac:dyDescent="0.25">
      <c r="A62" s="5" t="s">
        <v>69</v>
      </c>
      <c r="B62" s="22" t="s">
        <v>54</v>
      </c>
      <c r="C62" s="6" t="s">
        <v>117</v>
      </c>
      <c r="D62" s="6" t="s">
        <v>120</v>
      </c>
      <c r="E62" s="6" t="s">
        <v>121</v>
      </c>
      <c r="F62" s="4"/>
      <c r="G62" s="6"/>
      <c r="H62" s="71">
        <v>520</v>
      </c>
      <c r="I62" s="11">
        <v>500000</v>
      </c>
      <c r="J62"/>
    </row>
    <row r="63" spans="1:10" ht="61.5" customHeight="1" x14ac:dyDescent="0.25">
      <c r="A63" s="126"/>
      <c r="B63" s="127" t="s">
        <v>66</v>
      </c>
      <c r="C63" s="128"/>
      <c r="D63" s="128"/>
      <c r="E63" s="129"/>
      <c r="F63" s="129"/>
      <c r="G63" s="129"/>
      <c r="H63" s="72"/>
      <c r="I63" s="23">
        <f>SUM(I56:I62)</f>
        <v>4533596.67</v>
      </c>
      <c r="J63"/>
    </row>
    <row r="64" spans="1:10" ht="66" customHeight="1" x14ac:dyDescent="0.25">
      <c r="A64" s="167" t="s">
        <v>255</v>
      </c>
      <c r="B64" s="161"/>
      <c r="C64" s="162"/>
      <c r="D64" s="162"/>
      <c r="E64" s="163"/>
      <c r="F64" s="163"/>
      <c r="G64" s="163"/>
      <c r="H64" s="164"/>
      <c r="I64" s="166">
        <f>+I47+I55+I63</f>
        <v>54533946.950000003</v>
      </c>
      <c r="J64"/>
    </row>
    <row r="65" spans="1:12" ht="80.25" customHeight="1" x14ac:dyDescent="0.25">
      <c r="A65" s="25" t="s">
        <v>128</v>
      </c>
      <c r="B65" s="26" t="s">
        <v>10</v>
      </c>
      <c r="C65" s="27" t="s">
        <v>129</v>
      </c>
      <c r="D65" s="27" t="s">
        <v>130</v>
      </c>
      <c r="E65" s="27" t="s">
        <v>131</v>
      </c>
      <c r="F65" s="4">
        <v>7.5</v>
      </c>
      <c r="G65" s="27" t="s">
        <v>11</v>
      </c>
      <c r="H65" s="73">
        <v>20000</v>
      </c>
      <c r="I65" s="28">
        <v>7435322.2700000005</v>
      </c>
      <c r="J65"/>
    </row>
    <row r="66" spans="1:12" ht="45" x14ac:dyDescent="0.25">
      <c r="A66" s="25" t="s">
        <v>128</v>
      </c>
      <c r="B66" s="26" t="s">
        <v>10</v>
      </c>
      <c r="C66" s="27" t="s">
        <v>132</v>
      </c>
      <c r="D66" s="27" t="s">
        <v>133</v>
      </c>
      <c r="E66" s="27" t="s">
        <v>134</v>
      </c>
      <c r="F66" s="4">
        <v>4</v>
      </c>
      <c r="G66" s="27" t="s">
        <v>11</v>
      </c>
      <c r="H66" s="73">
        <v>1480</v>
      </c>
      <c r="I66" s="28">
        <v>3794597.31</v>
      </c>
      <c r="J66"/>
    </row>
    <row r="67" spans="1:12" ht="60" x14ac:dyDescent="0.25">
      <c r="A67" s="25" t="s">
        <v>128</v>
      </c>
      <c r="B67" s="26" t="s">
        <v>10</v>
      </c>
      <c r="C67" s="27" t="s">
        <v>129</v>
      </c>
      <c r="D67" s="27" t="s">
        <v>135</v>
      </c>
      <c r="E67" s="27" t="s">
        <v>136</v>
      </c>
      <c r="F67" s="4"/>
      <c r="G67" s="27" t="s">
        <v>11</v>
      </c>
      <c r="H67" s="73">
        <v>6000</v>
      </c>
      <c r="I67" s="28">
        <v>3000000</v>
      </c>
      <c r="J67"/>
    </row>
    <row r="68" spans="1:12" ht="57" customHeight="1" x14ac:dyDescent="0.25">
      <c r="A68" s="25" t="s">
        <v>128</v>
      </c>
      <c r="B68" s="26" t="s">
        <v>10</v>
      </c>
      <c r="C68" s="27" t="s">
        <v>137</v>
      </c>
      <c r="D68" s="27" t="s">
        <v>138</v>
      </c>
      <c r="E68" s="27" t="s">
        <v>139</v>
      </c>
      <c r="F68" s="4">
        <v>2</v>
      </c>
      <c r="G68" s="27" t="s">
        <v>11</v>
      </c>
      <c r="H68" s="73">
        <v>5000</v>
      </c>
      <c r="I68" s="28">
        <v>1800000</v>
      </c>
      <c r="J68"/>
    </row>
    <row r="69" spans="1:12" ht="45" x14ac:dyDescent="0.25">
      <c r="A69" s="25" t="s">
        <v>128</v>
      </c>
      <c r="B69" s="26" t="s">
        <v>10</v>
      </c>
      <c r="C69" s="27" t="s">
        <v>140</v>
      </c>
      <c r="D69" s="29" t="s">
        <v>141</v>
      </c>
      <c r="E69" s="29" t="s">
        <v>142</v>
      </c>
      <c r="F69" s="4">
        <v>7</v>
      </c>
      <c r="G69" s="27" t="s">
        <v>11</v>
      </c>
      <c r="H69" s="73">
        <v>20000</v>
      </c>
      <c r="I69" s="28">
        <f>6577492.07-68412.1</f>
        <v>6509079.9700000007</v>
      </c>
      <c r="J69"/>
    </row>
    <row r="70" spans="1:12" ht="51" customHeight="1" x14ac:dyDescent="0.25">
      <c r="A70" s="142" t="s">
        <v>154</v>
      </c>
      <c r="B70" s="140"/>
      <c r="C70" s="140"/>
      <c r="D70" s="140"/>
      <c r="E70" s="141"/>
      <c r="F70" s="85"/>
      <c r="G70" s="85"/>
      <c r="H70" s="87"/>
      <c r="I70" s="86">
        <f>SUM(I65:I69)</f>
        <v>22538999.550000001</v>
      </c>
      <c r="J70"/>
      <c r="L70" s="83" t="e">
        <f>#REF!+#REF!+#REF!+#REF!</f>
        <v>#REF!</v>
      </c>
    </row>
    <row r="71" spans="1:12" ht="63" hidden="1" customHeight="1" x14ac:dyDescent="0.25">
      <c r="A71" s="25" t="s">
        <v>128</v>
      </c>
      <c r="B71" s="30" t="s">
        <v>88</v>
      </c>
      <c r="C71" s="27" t="s">
        <v>143</v>
      </c>
      <c r="D71" s="27" t="s">
        <v>144</v>
      </c>
      <c r="E71" s="27" t="s">
        <v>24</v>
      </c>
      <c r="F71" s="27"/>
      <c r="G71" s="27" t="s">
        <v>25</v>
      </c>
      <c r="H71" s="73">
        <v>39</v>
      </c>
      <c r="I71" s="24">
        <v>548848.31744000001</v>
      </c>
      <c r="J71"/>
    </row>
    <row r="72" spans="1:12" ht="30" hidden="1" x14ac:dyDescent="0.25">
      <c r="A72" s="25" t="s">
        <v>128</v>
      </c>
      <c r="B72" s="30" t="s">
        <v>88</v>
      </c>
      <c r="C72" s="27" t="s">
        <v>145</v>
      </c>
      <c r="D72" s="27" t="s">
        <v>146</v>
      </c>
      <c r="E72" s="27" t="s">
        <v>24</v>
      </c>
      <c r="F72" s="27"/>
      <c r="G72" s="27" t="s">
        <v>25</v>
      </c>
      <c r="H72" s="73">
        <v>16</v>
      </c>
      <c r="I72" s="24">
        <v>490345.65256000002</v>
      </c>
      <c r="J72"/>
    </row>
    <row r="73" spans="1:12" ht="30" hidden="1" x14ac:dyDescent="0.25">
      <c r="A73" s="25" t="s">
        <v>128</v>
      </c>
      <c r="B73" s="30" t="s">
        <v>88</v>
      </c>
      <c r="C73" s="27" t="s">
        <v>67</v>
      </c>
      <c r="D73" s="27" t="s">
        <v>147</v>
      </c>
      <c r="E73" s="27" t="s">
        <v>148</v>
      </c>
      <c r="F73" s="27"/>
      <c r="G73" s="27" t="s">
        <v>149</v>
      </c>
      <c r="H73" s="73" t="s">
        <v>100</v>
      </c>
      <c r="I73" s="24">
        <v>273009.15295999998</v>
      </c>
      <c r="J73"/>
    </row>
    <row r="74" spans="1:12" ht="42.75" hidden="1" x14ac:dyDescent="0.25">
      <c r="A74" s="143" t="s">
        <v>155</v>
      </c>
      <c r="B74" s="140"/>
      <c r="C74" s="140"/>
      <c r="D74" s="140"/>
      <c r="E74" s="141"/>
      <c r="F74" s="88"/>
      <c r="G74" s="88"/>
      <c r="H74" s="89"/>
      <c r="I74" s="45">
        <f>SUM(I71:I73)</f>
        <v>1312203.1229599998</v>
      </c>
      <c r="J74"/>
    </row>
    <row r="75" spans="1:12" ht="30" x14ac:dyDescent="0.25">
      <c r="A75" s="25" t="s">
        <v>128</v>
      </c>
      <c r="B75" s="31" t="s">
        <v>54</v>
      </c>
      <c r="C75" s="27" t="s">
        <v>151</v>
      </c>
      <c r="D75" s="27" t="s">
        <v>152</v>
      </c>
      <c r="E75" s="27" t="s">
        <v>150</v>
      </c>
      <c r="F75" s="4"/>
      <c r="G75" s="27" t="s">
        <v>153</v>
      </c>
      <c r="H75" s="73">
        <v>5436</v>
      </c>
      <c r="I75" s="174">
        <v>1552304.8</v>
      </c>
      <c r="J75"/>
    </row>
    <row r="76" spans="1:12" x14ac:dyDescent="0.25">
      <c r="A76" s="144" t="s">
        <v>156</v>
      </c>
      <c r="B76" s="140"/>
      <c r="C76" s="140"/>
      <c r="D76" s="140"/>
      <c r="E76" s="141"/>
      <c r="F76" s="91"/>
      <c r="G76" s="91"/>
      <c r="H76" s="92"/>
      <c r="I76" s="175">
        <f>SUM(I75:I75)</f>
        <v>1552304.8</v>
      </c>
      <c r="J76"/>
    </row>
    <row r="77" spans="1:12" ht="31.5" customHeight="1" x14ac:dyDescent="0.25">
      <c r="A77" s="168" t="s">
        <v>255</v>
      </c>
      <c r="B77" s="169"/>
      <c r="C77" s="169"/>
      <c r="D77" s="169"/>
      <c r="E77" s="170"/>
      <c r="F77" s="171"/>
      <c r="G77" s="171"/>
      <c r="H77" s="172"/>
      <c r="I77" s="173">
        <f>I70+I74+I76</f>
        <v>25403507.472960003</v>
      </c>
      <c r="J77"/>
    </row>
    <row r="78" spans="1:12" ht="30" x14ac:dyDescent="0.25">
      <c r="A78" s="33" t="s">
        <v>157</v>
      </c>
      <c r="B78" s="32" t="s">
        <v>10</v>
      </c>
      <c r="C78" s="34" t="s">
        <v>159</v>
      </c>
      <c r="D78" s="34" t="s">
        <v>160</v>
      </c>
      <c r="E78" s="34" t="s">
        <v>158</v>
      </c>
      <c r="F78" s="4"/>
      <c r="G78" s="34" t="s">
        <v>161</v>
      </c>
      <c r="H78" s="73">
        <v>2000</v>
      </c>
      <c r="I78" s="24">
        <v>24571990</v>
      </c>
      <c r="J78"/>
    </row>
    <row r="79" spans="1:12" x14ac:dyDescent="0.25">
      <c r="A79" s="33" t="s">
        <v>157</v>
      </c>
      <c r="B79" s="32" t="s">
        <v>10</v>
      </c>
      <c r="C79" s="34" t="s">
        <v>162</v>
      </c>
      <c r="D79" s="34" t="s">
        <v>163</v>
      </c>
      <c r="E79" s="34" t="s">
        <v>158</v>
      </c>
      <c r="F79" s="4"/>
      <c r="G79" s="34" t="s">
        <v>164</v>
      </c>
      <c r="H79" s="73">
        <v>1800</v>
      </c>
      <c r="I79" s="24">
        <v>13400000</v>
      </c>
      <c r="J79"/>
    </row>
    <row r="80" spans="1:12" x14ac:dyDescent="0.25">
      <c r="A80" s="33" t="s">
        <v>157</v>
      </c>
      <c r="B80" s="32" t="s">
        <v>10</v>
      </c>
      <c r="C80" s="34" t="s">
        <v>165</v>
      </c>
      <c r="D80" s="34" t="s">
        <v>166</v>
      </c>
      <c r="E80" s="34" t="s">
        <v>158</v>
      </c>
      <c r="F80" s="4"/>
      <c r="G80" s="34" t="s">
        <v>167</v>
      </c>
      <c r="H80" s="73">
        <v>4500</v>
      </c>
      <c r="I80" s="35">
        <v>15971990</v>
      </c>
      <c r="J80"/>
    </row>
    <row r="81" spans="1:10" ht="28.5" x14ac:dyDescent="0.25">
      <c r="A81" s="130"/>
      <c r="B81" s="131" t="s">
        <v>169</v>
      </c>
      <c r="C81" s="132"/>
      <c r="D81" s="132"/>
      <c r="E81" s="133"/>
      <c r="F81" s="37"/>
      <c r="G81" s="37"/>
      <c r="H81" s="75"/>
      <c r="I81" s="36">
        <f>SUM(I78:I80)</f>
        <v>53943980</v>
      </c>
      <c r="J81"/>
    </row>
    <row r="82" spans="1:10" hidden="1" x14ac:dyDescent="0.25">
      <c r="A82" s="38" t="s">
        <v>157</v>
      </c>
      <c r="B82" s="39" t="s">
        <v>88</v>
      </c>
      <c r="C82" s="38" t="s">
        <v>170</v>
      </c>
      <c r="D82" s="38" t="s">
        <v>171</v>
      </c>
      <c r="E82" s="40" t="s">
        <v>24</v>
      </c>
      <c r="F82" s="4"/>
      <c r="G82" s="40" t="s">
        <v>25</v>
      </c>
      <c r="H82" s="76">
        <v>21</v>
      </c>
      <c r="I82" s="41">
        <v>712829.78559999994</v>
      </c>
      <c r="J82"/>
    </row>
    <row r="83" spans="1:10" hidden="1" x14ac:dyDescent="0.25">
      <c r="A83" s="38" t="s">
        <v>157</v>
      </c>
      <c r="B83" s="39" t="s">
        <v>88</v>
      </c>
      <c r="C83" s="38" t="s">
        <v>170</v>
      </c>
      <c r="D83" s="38" t="s">
        <v>172</v>
      </c>
      <c r="E83" s="40" t="s">
        <v>24</v>
      </c>
      <c r="F83" s="4"/>
      <c r="G83" s="40" t="s">
        <v>25</v>
      </c>
      <c r="H83" s="76">
        <v>45</v>
      </c>
      <c r="I83" s="41">
        <v>1224561.976</v>
      </c>
      <c r="J83"/>
    </row>
    <row r="84" spans="1:10" hidden="1" x14ac:dyDescent="0.25">
      <c r="A84" s="38" t="s">
        <v>157</v>
      </c>
      <c r="B84" s="39" t="s">
        <v>88</v>
      </c>
      <c r="C84" s="1" t="s">
        <v>170</v>
      </c>
      <c r="D84" s="1" t="s">
        <v>173</v>
      </c>
      <c r="E84" s="40" t="s">
        <v>24</v>
      </c>
      <c r="F84" s="4"/>
      <c r="G84" s="40" t="s">
        <v>25</v>
      </c>
      <c r="H84" s="77">
        <v>15</v>
      </c>
      <c r="I84" s="42">
        <v>568889.15040000004</v>
      </c>
      <c r="J84"/>
    </row>
    <row r="85" spans="1:10" hidden="1" x14ac:dyDescent="0.25">
      <c r="A85" s="38" t="s">
        <v>157</v>
      </c>
      <c r="B85" s="39" t="s">
        <v>88</v>
      </c>
      <c r="C85" s="38" t="s">
        <v>174</v>
      </c>
      <c r="D85" s="38" t="s">
        <v>175</v>
      </c>
      <c r="E85" s="40" t="s">
        <v>24</v>
      </c>
      <c r="F85" s="4"/>
      <c r="G85" s="40" t="s">
        <v>25</v>
      </c>
      <c r="H85" s="76">
        <v>24</v>
      </c>
      <c r="I85" s="41">
        <v>776991.02399999998</v>
      </c>
      <c r="J85"/>
    </row>
    <row r="86" spans="1:10" ht="33" hidden="1" customHeight="1" x14ac:dyDescent="0.25">
      <c r="A86" s="38" t="s">
        <v>157</v>
      </c>
      <c r="B86" s="39" t="s">
        <v>88</v>
      </c>
      <c r="C86" s="38" t="s">
        <v>174</v>
      </c>
      <c r="D86" s="38" t="s">
        <v>176</v>
      </c>
      <c r="E86" s="40" t="s">
        <v>24</v>
      </c>
      <c r="F86" s="4"/>
      <c r="G86" s="40" t="s">
        <v>25</v>
      </c>
      <c r="H86" s="76">
        <v>13</v>
      </c>
      <c r="I86" s="41">
        <v>398824.48223999998</v>
      </c>
      <c r="J86"/>
    </row>
    <row r="87" spans="1:10" hidden="1" x14ac:dyDescent="0.25">
      <c r="A87" s="38" t="s">
        <v>157</v>
      </c>
      <c r="B87" s="39" t="s">
        <v>88</v>
      </c>
      <c r="C87" s="38" t="s">
        <v>177</v>
      </c>
      <c r="D87" s="38" t="s">
        <v>178</v>
      </c>
      <c r="E87" s="40" t="s">
        <v>24</v>
      </c>
      <c r="F87" s="4"/>
      <c r="G87" s="40" t="s">
        <v>25</v>
      </c>
      <c r="H87" s="76">
        <v>41</v>
      </c>
      <c r="I87" s="41">
        <v>950580.5808</v>
      </c>
      <c r="J87"/>
    </row>
    <row r="88" spans="1:10" hidden="1" x14ac:dyDescent="0.25">
      <c r="A88" s="38" t="s">
        <v>157</v>
      </c>
      <c r="B88" s="39" t="s">
        <v>88</v>
      </c>
      <c r="C88" s="38" t="s">
        <v>177</v>
      </c>
      <c r="D88" s="38" t="s">
        <v>179</v>
      </c>
      <c r="E88" s="40" t="s">
        <v>24</v>
      </c>
      <c r="F88" s="4"/>
      <c r="G88" s="40" t="s">
        <v>25</v>
      </c>
      <c r="H88" s="76">
        <v>46</v>
      </c>
      <c r="I88" s="41">
        <v>1353080.83614815</v>
      </c>
      <c r="J88"/>
    </row>
    <row r="89" spans="1:10" hidden="1" x14ac:dyDescent="0.25">
      <c r="A89" s="38" t="s">
        <v>157</v>
      </c>
      <c r="B89" s="39" t="s">
        <v>88</v>
      </c>
      <c r="C89" s="38" t="s">
        <v>177</v>
      </c>
      <c r="D89" s="38" t="s">
        <v>180</v>
      </c>
      <c r="E89" s="40" t="s">
        <v>24</v>
      </c>
      <c r="F89" s="4"/>
      <c r="G89" s="40" t="s">
        <v>25</v>
      </c>
      <c r="H89" s="76">
        <v>44</v>
      </c>
      <c r="I89" s="41">
        <v>1307874.4792774201</v>
      </c>
      <c r="J89"/>
    </row>
    <row r="90" spans="1:10" hidden="1" x14ac:dyDescent="0.25">
      <c r="A90" s="38" t="s">
        <v>157</v>
      </c>
      <c r="B90" s="39" t="s">
        <v>88</v>
      </c>
      <c r="C90" s="38" t="s">
        <v>177</v>
      </c>
      <c r="D90" s="38" t="s">
        <v>181</v>
      </c>
      <c r="E90" s="40" t="s">
        <v>24</v>
      </c>
      <c r="F90" s="4"/>
      <c r="G90" s="40" t="s">
        <v>25</v>
      </c>
      <c r="H90" s="76">
        <v>49</v>
      </c>
      <c r="I90" s="41">
        <v>1103286.1188025801</v>
      </c>
      <c r="J90"/>
    </row>
    <row r="91" spans="1:10" hidden="1" x14ac:dyDescent="0.25">
      <c r="A91" s="38" t="s">
        <v>157</v>
      </c>
      <c r="B91" s="39" t="s">
        <v>88</v>
      </c>
      <c r="C91" s="38" t="s">
        <v>177</v>
      </c>
      <c r="D91" s="38" t="s">
        <v>182</v>
      </c>
      <c r="E91" s="40" t="s">
        <v>24</v>
      </c>
      <c r="F91" s="4"/>
      <c r="G91" s="40" t="s">
        <v>25</v>
      </c>
      <c r="H91" s="76">
        <v>49</v>
      </c>
      <c r="I91" s="41">
        <v>1330344.9904</v>
      </c>
      <c r="J91"/>
    </row>
    <row r="92" spans="1:10" hidden="1" x14ac:dyDescent="0.25">
      <c r="A92" s="38" t="s">
        <v>157</v>
      </c>
      <c r="B92" s="39" t="s">
        <v>88</v>
      </c>
      <c r="C92" s="38" t="s">
        <v>177</v>
      </c>
      <c r="D92" s="38" t="s">
        <v>183</v>
      </c>
      <c r="E92" s="40" t="s">
        <v>24</v>
      </c>
      <c r="F92" s="4"/>
      <c r="G92" s="40" t="s">
        <v>25</v>
      </c>
      <c r="H92" s="76">
        <v>62</v>
      </c>
      <c r="I92" s="41">
        <v>1592393.1862518501</v>
      </c>
      <c r="J92"/>
    </row>
    <row r="93" spans="1:10" hidden="1" x14ac:dyDescent="0.25">
      <c r="A93" s="38" t="s">
        <v>157</v>
      </c>
      <c r="B93" s="39" t="s">
        <v>88</v>
      </c>
      <c r="C93" s="38" t="s">
        <v>177</v>
      </c>
      <c r="D93" s="38" t="s">
        <v>184</v>
      </c>
      <c r="E93" s="40" t="s">
        <v>24</v>
      </c>
      <c r="F93" s="4"/>
      <c r="G93" s="40" t="s">
        <v>25</v>
      </c>
      <c r="H93" s="76">
        <v>38</v>
      </c>
      <c r="I93" s="41">
        <v>1169752.9295999999</v>
      </c>
      <c r="J93"/>
    </row>
    <row r="94" spans="1:10" hidden="1" x14ac:dyDescent="0.25">
      <c r="A94" s="38" t="s">
        <v>157</v>
      </c>
      <c r="B94" s="39" t="s">
        <v>88</v>
      </c>
      <c r="C94" s="38" t="s">
        <v>177</v>
      </c>
      <c r="D94" s="38" t="s">
        <v>185</v>
      </c>
      <c r="E94" s="40" t="s">
        <v>24</v>
      </c>
      <c r="F94" s="4"/>
      <c r="G94" s="40" t="s">
        <v>25</v>
      </c>
      <c r="H94" s="76">
        <v>49</v>
      </c>
      <c r="I94" s="41">
        <v>1442274.9896</v>
      </c>
      <c r="J94"/>
    </row>
    <row r="95" spans="1:10" hidden="1" x14ac:dyDescent="0.25">
      <c r="A95" s="38" t="s">
        <v>157</v>
      </c>
      <c r="B95" s="39" t="s">
        <v>88</v>
      </c>
      <c r="C95" s="38" t="s">
        <v>177</v>
      </c>
      <c r="D95" s="38" t="s">
        <v>186</v>
      </c>
      <c r="E95" s="40" t="s">
        <v>24</v>
      </c>
      <c r="F95" s="4"/>
      <c r="G95" s="40" t="s">
        <v>25</v>
      </c>
      <c r="H95" s="76">
        <v>45</v>
      </c>
      <c r="I95" s="41">
        <v>1566145.6007999999</v>
      </c>
      <c r="J95"/>
    </row>
    <row r="96" spans="1:10" hidden="1" x14ac:dyDescent="0.25">
      <c r="A96" s="38" t="s">
        <v>157</v>
      </c>
      <c r="B96" s="39" t="s">
        <v>88</v>
      </c>
      <c r="C96" s="1" t="s">
        <v>177</v>
      </c>
      <c r="D96" s="1" t="s">
        <v>187</v>
      </c>
      <c r="E96" s="40" t="s">
        <v>24</v>
      </c>
      <c r="F96" s="4"/>
      <c r="G96" s="40" t="s">
        <v>25</v>
      </c>
      <c r="H96" s="77">
        <v>23</v>
      </c>
      <c r="I96" s="42">
        <v>877537.31039999996</v>
      </c>
      <c r="J96"/>
    </row>
    <row r="97" spans="1:10" hidden="1" x14ac:dyDescent="0.25">
      <c r="A97" s="38" t="s">
        <v>157</v>
      </c>
      <c r="B97" s="39" t="s">
        <v>88</v>
      </c>
      <c r="C97" s="1" t="s">
        <v>188</v>
      </c>
      <c r="D97" s="1" t="s">
        <v>189</v>
      </c>
      <c r="E97" s="40" t="s">
        <v>24</v>
      </c>
      <c r="F97" s="4"/>
      <c r="G97" s="40" t="s">
        <v>25</v>
      </c>
      <c r="H97" s="77">
        <v>5</v>
      </c>
      <c r="I97" s="42">
        <v>180205.89600000001</v>
      </c>
      <c r="J97"/>
    </row>
    <row r="98" spans="1:10" hidden="1" x14ac:dyDescent="0.25">
      <c r="A98" s="38" t="s">
        <v>157</v>
      </c>
      <c r="B98" s="39" t="s">
        <v>88</v>
      </c>
      <c r="C98" s="1" t="s">
        <v>188</v>
      </c>
      <c r="D98" s="1" t="s">
        <v>190</v>
      </c>
      <c r="E98" s="40" t="s">
        <v>24</v>
      </c>
      <c r="F98" s="4"/>
      <c r="G98" s="40" t="s">
        <v>25</v>
      </c>
      <c r="H98" s="77">
        <v>11</v>
      </c>
      <c r="I98" s="42">
        <v>403225.88</v>
      </c>
      <c r="J98"/>
    </row>
    <row r="99" spans="1:10" hidden="1" x14ac:dyDescent="0.25">
      <c r="A99" s="38" t="s">
        <v>157</v>
      </c>
      <c r="B99" s="39" t="s">
        <v>88</v>
      </c>
      <c r="C99" s="1" t="s">
        <v>188</v>
      </c>
      <c r="D99" s="1" t="s">
        <v>191</v>
      </c>
      <c r="E99" s="40" t="s">
        <v>24</v>
      </c>
      <c r="F99" s="4"/>
      <c r="G99" s="40" t="s">
        <v>25</v>
      </c>
      <c r="H99" s="77">
        <v>12</v>
      </c>
      <c r="I99" s="42">
        <v>25020</v>
      </c>
      <c r="J99"/>
    </row>
    <row r="100" spans="1:10" hidden="1" x14ac:dyDescent="0.25">
      <c r="A100" s="38" t="s">
        <v>157</v>
      </c>
      <c r="B100" s="39" t="s">
        <v>88</v>
      </c>
      <c r="C100" s="38" t="s">
        <v>192</v>
      </c>
      <c r="D100" s="38" t="s">
        <v>193</v>
      </c>
      <c r="E100" s="40" t="s">
        <v>24</v>
      </c>
      <c r="F100" s="4"/>
      <c r="G100" s="40" t="s">
        <v>25</v>
      </c>
      <c r="H100" s="76">
        <v>30</v>
      </c>
      <c r="I100" s="41">
        <v>913543.63327999995</v>
      </c>
      <c r="J100"/>
    </row>
    <row r="101" spans="1:10" hidden="1" x14ac:dyDescent="0.25">
      <c r="A101" s="38" t="s">
        <v>157</v>
      </c>
      <c r="B101" s="39" t="s">
        <v>88</v>
      </c>
      <c r="C101" s="38" t="s">
        <v>194</v>
      </c>
      <c r="D101" s="38" t="s">
        <v>195</v>
      </c>
      <c r="E101" s="40" t="s">
        <v>24</v>
      </c>
      <c r="F101" s="4"/>
      <c r="G101" s="40" t="s">
        <v>25</v>
      </c>
      <c r="H101" s="76">
        <v>8</v>
      </c>
      <c r="I101" s="41">
        <v>223986.8</v>
      </c>
      <c r="J101"/>
    </row>
    <row r="102" spans="1:10" hidden="1" x14ac:dyDescent="0.25">
      <c r="A102" s="38" t="s">
        <v>157</v>
      </c>
      <c r="B102" s="39" t="s">
        <v>88</v>
      </c>
      <c r="C102" s="38" t="s">
        <v>194</v>
      </c>
      <c r="D102" s="38" t="s">
        <v>196</v>
      </c>
      <c r="E102" s="40" t="s">
        <v>24</v>
      </c>
      <c r="F102" s="4"/>
      <c r="G102" s="40" t="s">
        <v>25</v>
      </c>
      <c r="H102" s="76">
        <v>31</v>
      </c>
      <c r="I102" s="41">
        <v>827658.96940799977</v>
      </c>
      <c r="J102"/>
    </row>
    <row r="103" spans="1:10" hidden="1" x14ac:dyDescent="0.25">
      <c r="A103" s="38" t="s">
        <v>157</v>
      </c>
      <c r="B103" s="39" t="s">
        <v>88</v>
      </c>
      <c r="C103" s="38" t="s">
        <v>168</v>
      </c>
      <c r="D103" s="38" t="s">
        <v>197</v>
      </c>
      <c r="E103" s="40" t="s">
        <v>24</v>
      </c>
      <c r="F103" s="4"/>
      <c r="G103" s="40" t="s">
        <v>25</v>
      </c>
      <c r="H103" s="76">
        <v>25</v>
      </c>
      <c r="I103" s="41">
        <v>827707.31039999996</v>
      </c>
      <c r="J103"/>
    </row>
    <row r="104" spans="1:10" hidden="1" x14ac:dyDescent="0.25">
      <c r="A104" s="38" t="s">
        <v>157</v>
      </c>
      <c r="B104" s="39" t="s">
        <v>88</v>
      </c>
      <c r="C104" s="38" t="s">
        <v>168</v>
      </c>
      <c r="D104" s="38" t="s">
        <v>198</v>
      </c>
      <c r="E104" s="40" t="s">
        <v>24</v>
      </c>
      <c r="F104" s="4"/>
      <c r="G104" s="40" t="s">
        <v>25</v>
      </c>
      <c r="H104" s="76">
        <v>40</v>
      </c>
      <c r="I104" s="41">
        <v>1035261.5696</v>
      </c>
      <c r="J104"/>
    </row>
    <row r="105" spans="1:10" hidden="1" x14ac:dyDescent="0.25">
      <c r="A105" s="38" t="s">
        <v>157</v>
      </c>
      <c r="B105" s="39" t="s">
        <v>88</v>
      </c>
      <c r="C105" s="38" t="s">
        <v>168</v>
      </c>
      <c r="D105" s="38" t="s">
        <v>199</v>
      </c>
      <c r="E105" s="40" t="s">
        <v>24</v>
      </c>
      <c r="F105" s="4"/>
      <c r="G105" s="40" t="s">
        <v>25</v>
      </c>
      <c r="H105" s="76">
        <v>25</v>
      </c>
      <c r="I105" s="41">
        <v>190577.66423999993</v>
      </c>
      <c r="J105"/>
    </row>
    <row r="106" spans="1:10" hidden="1" x14ac:dyDescent="0.25">
      <c r="A106" s="38" t="s">
        <v>157</v>
      </c>
      <c r="B106" s="39" t="s">
        <v>88</v>
      </c>
      <c r="C106" s="1" t="s">
        <v>168</v>
      </c>
      <c r="D106" s="1" t="s">
        <v>200</v>
      </c>
      <c r="E106" s="40" t="s">
        <v>24</v>
      </c>
      <c r="F106" s="4"/>
      <c r="G106" s="40" t="s">
        <v>25</v>
      </c>
      <c r="H106" s="77">
        <v>14</v>
      </c>
      <c r="I106" s="42">
        <v>522687.9008</v>
      </c>
      <c r="J106"/>
    </row>
    <row r="107" spans="1:10" hidden="1" x14ac:dyDescent="0.25">
      <c r="A107" s="38" t="s">
        <v>157</v>
      </c>
      <c r="B107" s="39" t="s">
        <v>88</v>
      </c>
      <c r="C107" s="38" t="s">
        <v>201</v>
      </c>
      <c r="D107" s="38" t="s">
        <v>202</v>
      </c>
      <c r="E107" s="40" t="s">
        <v>24</v>
      </c>
      <c r="F107" s="4"/>
      <c r="G107" s="40" t="s">
        <v>25</v>
      </c>
      <c r="H107" s="76">
        <v>12</v>
      </c>
      <c r="I107" s="41">
        <v>403195.18079999997</v>
      </c>
      <c r="J107"/>
    </row>
    <row r="108" spans="1:10" hidden="1" x14ac:dyDescent="0.25">
      <c r="A108" s="38" t="s">
        <v>157</v>
      </c>
      <c r="B108" s="39" t="s">
        <v>88</v>
      </c>
      <c r="C108" s="38" t="s">
        <v>203</v>
      </c>
      <c r="D108" s="38" t="s">
        <v>204</v>
      </c>
      <c r="E108" s="40" t="s">
        <v>24</v>
      </c>
      <c r="F108" s="4"/>
      <c r="G108" s="40" t="s">
        <v>25</v>
      </c>
      <c r="H108" s="76">
        <v>21</v>
      </c>
      <c r="I108" s="41">
        <v>677898.2672</v>
      </c>
      <c r="J108"/>
    </row>
    <row r="109" spans="1:10" hidden="1" x14ac:dyDescent="0.25">
      <c r="A109" s="38" t="s">
        <v>157</v>
      </c>
      <c r="B109" s="39" t="s">
        <v>88</v>
      </c>
      <c r="C109" s="38" t="s">
        <v>203</v>
      </c>
      <c r="D109" s="38" t="s">
        <v>205</v>
      </c>
      <c r="E109" s="40" t="s">
        <v>24</v>
      </c>
      <c r="F109" s="4"/>
      <c r="G109" s="40" t="s">
        <v>25</v>
      </c>
      <c r="H109" s="76">
        <v>30</v>
      </c>
      <c r="I109" s="41">
        <v>943571.28</v>
      </c>
      <c r="J109"/>
    </row>
    <row r="110" spans="1:10" hidden="1" x14ac:dyDescent="0.25">
      <c r="A110" s="38" t="s">
        <v>157</v>
      </c>
      <c r="B110" s="39" t="s">
        <v>88</v>
      </c>
      <c r="C110" s="38" t="s">
        <v>203</v>
      </c>
      <c r="D110" s="38" t="s">
        <v>206</v>
      </c>
      <c r="E110" s="40" t="s">
        <v>24</v>
      </c>
      <c r="F110" s="4"/>
      <c r="G110" s="40" t="s">
        <v>25</v>
      </c>
      <c r="H110" s="76">
        <v>20</v>
      </c>
      <c r="I110" s="41">
        <v>455150.23872000002</v>
      </c>
      <c r="J110"/>
    </row>
    <row r="111" spans="1:10" hidden="1" x14ac:dyDescent="0.25">
      <c r="A111" s="38" t="s">
        <v>157</v>
      </c>
      <c r="B111" s="39" t="s">
        <v>88</v>
      </c>
      <c r="C111" s="38" t="s">
        <v>207</v>
      </c>
      <c r="D111" s="38" t="s">
        <v>208</v>
      </c>
      <c r="E111" s="40" t="s">
        <v>24</v>
      </c>
      <c r="F111" s="4"/>
      <c r="G111" s="40" t="s">
        <v>25</v>
      </c>
      <c r="H111" s="76">
        <v>10</v>
      </c>
      <c r="I111" s="41">
        <v>343479.52</v>
      </c>
      <c r="J111"/>
    </row>
    <row r="112" spans="1:10" hidden="1" x14ac:dyDescent="0.25">
      <c r="A112" s="38" t="s">
        <v>157</v>
      </c>
      <c r="B112" s="39" t="s">
        <v>88</v>
      </c>
      <c r="C112" s="38" t="s">
        <v>209</v>
      </c>
      <c r="D112" s="38" t="s">
        <v>210</v>
      </c>
      <c r="E112" s="40" t="s">
        <v>24</v>
      </c>
      <c r="F112" s="4"/>
      <c r="G112" s="40" t="s">
        <v>25</v>
      </c>
      <c r="H112" s="76">
        <v>36</v>
      </c>
      <c r="I112" s="41">
        <v>1239047.0048</v>
      </c>
      <c r="J112"/>
    </row>
    <row r="113" spans="1:10" hidden="1" x14ac:dyDescent="0.25">
      <c r="A113" s="38" t="s">
        <v>157</v>
      </c>
      <c r="B113" s="39" t="s">
        <v>88</v>
      </c>
      <c r="C113" s="43" t="s">
        <v>50</v>
      </c>
      <c r="D113" s="44" t="s">
        <v>51</v>
      </c>
      <c r="E113" s="40" t="s">
        <v>24</v>
      </c>
      <c r="F113" s="4"/>
      <c r="G113" s="44" t="s">
        <v>52</v>
      </c>
      <c r="H113" s="77"/>
      <c r="I113" s="42">
        <v>5545</v>
      </c>
      <c r="J113"/>
    </row>
    <row r="114" spans="1:10" ht="38.25" hidden="1" customHeight="1" x14ac:dyDescent="0.25">
      <c r="A114" s="134"/>
      <c r="B114" s="135" t="s">
        <v>101</v>
      </c>
      <c r="C114" s="136"/>
      <c r="D114" s="47"/>
      <c r="E114" s="47"/>
      <c r="F114" s="47"/>
      <c r="G114" s="47"/>
      <c r="H114" s="78">
        <v>894</v>
      </c>
      <c r="I114" s="46">
        <f>SUM(I82:I113)</f>
        <v>25593129.555567998</v>
      </c>
      <c r="J114"/>
    </row>
    <row r="115" spans="1:10" ht="90" x14ac:dyDescent="0.25">
      <c r="A115" s="25" t="s">
        <v>157</v>
      </c>
      <c r="B115" s="31" t="s">
        <v>54</v>
      </c>
      <c r="C115" s="48" t="s">
        <v>211</v>
      </c>
      <c r="D115" s="49" t="s">
        <v>212</v>
      </c>
      <c r="E115" s="27" t="s">
        <v>213</v>
      </c>
      <c r="F115" s="4"/>
      <c r="G115" s="27" t="s">
        <v>214</v>
      </c>
      <c r="H115" s="74">
        <v>11500</v>
      </c>
      <c r="I115" s="24">
        <v>845225.51000000013</v>
      </c>
      <c r="J115"/>
    </row>
    <row r="116" spans="1:10" ht="30" x14ac:dyDescent="0.25">
      <c r="A116" s="25" t="s">
        <v>157</v>
      </c>
      <c r="B116" s="31" t="s">
        <v>54</v>
      </c>
      <c r="C116" s="49" t="s">
        <v>215</v>
      </c>
      <c r="D116" s="49" t="s">
        <v>216</v>
      </c>
      <c r="E116" s="27" t="s">
        <v>217</v>
      </c>
      <c r="F116" s="4"/>
      <c r="G116" s="27" t="s">
        <v>218</v>
      </c>
      <c r="H116" s="74">
        <v>606</v>
      </c>
      <c r="I116" s="24">
        <v>823407.74999999988</v>
      </c>
      <c r="J116"/>
    </row>
    <row r="117" spans="1:10" ht="30" x14ac:dyDescent="0.25">
      <c r="A117" s="25" t="s">
        <v>157</v>
      </c>
      <c r="B117" s="31" t="s">
        <v>54</v>
      </c>
      <c r="C117" s="49" t="s">
        <v>219</v>
      </c>
      <c r="D117" s="49" t="s">
        <v>220</v>
      </c>
      <c r="E117" s="27" t="s">
        <v>217</v>
      </c>
      <c r="F117" s="4"/>
      <c r="G117" s="27" t="s">
        <v>218</v>
      </c>
      <c r="H117" s="74">
        <v>250</v>
      </c>
      <c r="I117" s="24">
        <v>593419.36</v>
      </c>
      <c r="J117"/>
    </row>
    <row r="118" spans="1:10" ht="30" x14ac:dyDescent="0.25">
      <c r="A118" s="25" t="s">
        <v>157</v>
      </c>
      <c r="B118" s="31" t="s">
        <v>54</v>
      </c>
      <c r="C118" s="49" t="s">
        <v>221</v>
      </c>
      <c r="D118" s="49" t="s">
        <v>222</v>
      </c>
      <c r="E118" s="27" t="s">
        <v>217</v>
      </c>
      <c r="F118" s="4"/>
      <c r="G118" s="27" t="s">
        <v>223</v>
      </c>
      <c r="H118" s="74">
        <v>230</v>
      </c>
      <c r="I118" s="24">
        <v>445971.6</v>
      </c>
      <c r="J118"/>
    </row>
    <row r="119" spans="1:10" ht="28.5" customHeight="1" x14ac:dyDescent="0.25">
      <c r="A119" s="137"/>
      <c r="B119" s="108" t="s">
        <v>66</v>
      </c>
      <c r="C119" s="138"/>
      <c r="D119" s="138"/>
      <c r="E119" s="51"/>
      <c r="F119" s="51"/>
      <c r="G119" s="51"/>
      <c r="H119" s="79"/>
      <c r="I119" s="50">
        <f>SUM(I115:I118)</f>
        <v>2708024.22</v>
      </c>
      <c r="J119"/>
    </row>
    <row r="120" spans="1:10" ht="31.5" customHeight="1" x14ac:dyDescent="0.25">
      <c r="A120" s="167" t="s">
        <v>255</v>
      </c>
      <c r="B120" s="167"/>
      <c r="C120" s="176"/>
      <c r="D120" s="176"/>
      <c r="E120" s="173"/>
      <c r="F120" s="173"/>
      <c r="G120" s="173"/>
      <c r="H120" s="177"/>
      <c r="I120" s="165">
        <f>I81+I114+I119</f>
        <v>82245133.775567994</v>
      </c>
      <c r="J120"/>
    </row>
    <row r="121" spans="1:10" x14ac:dyDescent="0.25">
      <c r="A121" s="98" t="s">
        <v>224</v>
      </c>
      <c r="B121" s="99" t="s">
        <v>225</v>
      </c>
      <c r="C121" s="100" t="s">
        <v>228</v>
      </c>
      <c r="D121" s="100" t="s">
        <v>229</v>
      </c>
      <c r="E121" s="100" t="s">
        <v>226</v>
      </c>
      <c r="F121" s="100"/>
      <c r="G121" s="100" t="s">
        <v>227</v>
      </c>
      <c r="H121" s="101">
        <v>1544</v>
      </c>
      <c r="I121" s="109">
        <v>5013198</v>
      </c>
      <c r="J121"/>
    </row>
    <row r="122" spans="1:10" x14ac:dyDescent="0.25">
      <c r="A122" s="98" t="s">
        <v>224</v>
      </c>
      <c r="B122" s="99" t="s">
        <v>225</v>
      </c>
      <c r="C122" s="100" t="s">
        <v>230</v>
      </c>
      <c r="D122" s="100" t="s">
        <v>231</v>
      </c>
      <c r="E122" s="100" t="s">
        <v>226</v>
      </c>
      <c r="F122" s="100"/>
      <c r="G122" s="100" t="s">
        <v>227</v>
      </c>
      <c r="H122" s="101">
        <v>352</v>
      </c>
      <c r="I122" s="109">
        <v>8000000</v>
      </c>
      <c r="J122"/>
    </row>
    <row r="123" spans="1:10" x14ac:dyDescent="0.25">
      <c r="A123" s="98" t="s">
        <v>224</v>
      </c>
      <c r="B123" s="99" t="s">
        <v>225</v>
      </c>
      <c r="C123" s="100" t="s">
        <v>232</v>
      </c>
      <c r="D123" s="100" t="s">
        <v>233</v>
      </c>
      <c r="E123" s="100" t="s">
        <v>226</v>
      </c>
      <c r="F123" s="100"/>
      <c r="G123" s="100" t="s">
        <v>227</v>
      </c>
      <c r="H123" s="101">
        <v>804</v>
      </c>
      <c r="I123" s="109">
        <v>8000000</v>
      </c>
      <c r="J123"/>
    </row>
    <row r="124" spans="1:10" x14ac:dyDescent="0.25">
      <c r="A124" s="98" t="s">
        <v>224</v>
      </c>
      <c r="B124" s="99" t="s">
        <v>225</v>
      </c>
      <c r="C124" s="100" t="s">
        <v>234</v>
      </c>
      <c r="D124" s="100" t="s">
        <v>235</v>
      </c>
      <c r="E124" s="100" t="s">
        <v>226</v>
      </c>
      <c r="F124" s="100"/>
      <c r="G124" s="100" t="s">
        <v>227</v>
      </c>
      <c r="H124" s="101">
        <v>160</v>
      </c>
      <c r="I124" s="109">
        <v>10836778.029999999</v>
      </c>
      <c r="J124"/>
    </row>
    <row r="125" spans="1:10" x14ac:dyDescent="0.25">
      <c r="A125" s="93"/>
      <c r="B125" s="145" t="s">
        <v>253</v>
      </c>
      <c r="C125" s="93"/>
      <c r="D125" s="93"/>
      <c r="E125" s="93"/>
      <c r="F125" s="107"/>
      <c r="G125" s="107"/>
      <c r="H125" s="97"/>
      <c r="I125" s="97">
        <f>SUM(I121:I124)</f>
        <v>31849976.030000001</v>
      </c>
      <c r="J125"/>
    </row>
    <row r="126" spans="1:10" hidden="1" x14ac:dyDescent="0.25">
      <c r="A126" s="98" t="s">
        <v>224</v>
      </c>
      <c r="B126" s="103" t="s">
        <v>88</v>
      </c>
      <c r="C126" s="100" t="s">
        <v>236</v>
      </c>
      <c r="D126" s="100" t="s">
        <v>237</v>
      </c>
      <c r="E126" s="100" t="s">
        <v>24</v>
      </c>
      <c r="F126" s="100"/>
      <c r="G126" s="100" t="s">
        <v>25</v>
      </c>
      <c r="H126" s="101">
        <v>26</v>
      </c>
      <c r="I126" s="102">
        <v>256428.62</v>
      </c>
      <c r="J126"/>
    </row>
    <row r="127" spans="1:10" hidden="1" x14ac:dyDescent="0.25">
      <c r="A127" s="98" t="s">
        <v>224</v>
      </c>
      <c r="B127" s="103" t="s">
        <v>88</v>
      </c>
      <c r="C127" s="100" t="s">
        <v>236</v>
      </c>
      <c r="D127" s="100" t="s">
        <v>238</v>
      </c>
      <c r="E127" s="100" t="s">
        <v>24</v>
      </c>
      <c r="F127" s="100"/>
      <c r="G127" s="100" t="s">
        <v>25</v>
      </c>
      <c r="H127" s="101">
        <v>4</v>
      </c>
      <c r="I127" s="102">
        <v>11598.51</v>
      </c>
      <c r="J127"/>
    </row>
    <row r="128" spans="1:10" hidden="1" x14ac:dyDescent="0.25">
      <c r="A128" s="98" t="s">
        <v>224</v>
      </c>
      <c r="B128" s="103" t="s">
        <v>88</v>
      </c>
      <c r="C128" s="100" t="s">
        <v>239</v>
      </c>
      <c r="D128" s="100" t="s">
        <v>240</v>
      </c>
      <c r="E128" s="100" t="s">
        <v>24</v>
      </c>
      <c r="F128" s="100"/>
      <c r="G128" s="100" t="s">
        <v>25</v>
      </c>
      <c r="H128" s="101">
        <v>16</v>
      </c>
      <c r="I128" s="102">
        <v>232315.55</v>
      </c>
      <c r="J128"/>
    </row>
    <row r="129" spans="1:11" hidden="1" x14ac:dyDescent="0.25">
      <c r="A129" s="98" t="s">
        <v>224</v>
      </c>
      <c r="B129" s="103" t="s">
        <v>88</v>
      </c>
      <c r="C129" s="100" t="s">
        <v>241</v>
      </c>
      <c r="D129" s="100" t="s">
        <v>242</v>
      </c>
      <c r="E129" s="100" t="s">
        <v>24</v>
      </c>
      <c r="F129" s="100"/>
      <c r="G129" s="100" t="s">
        <v>25</v>
      </c>
      <c r="H129" s="101">
        <v>12</v>
      </c>
      <c r="I129" s="102">
        <v>157096.24</v>
      </c>
      <c r="J129"/>
    </row>
    <row r="130" spans="1:11" ht="26.25" hidden="1" customHeight="1" x14ac:dyDescent="0.25">
      <c r="A130" s="98" t="s">
        <v>224</v>
      </c>
      <c r="B130" s="103" t="s">
        <v>88</v>
      </c>
      <c r="C130" s="100" t="s">
        <v>241</v>
      </c>
      <c r="D130" s="100" t="s">
        <v>243</v>
      </c>
      <c r="E130" s="100" t="s">
        <v>24</v>
      </c>
      <c r="F130" s="100"/>
      <c r="G130" s="100" t="s">
        <v>25</v>
      </c>
      <c r="H130" s="101">
        <v>20</v>
      </c>
      <c r="I130" s="102">
        <v>250902.44</v>
      </c>
      <c r="J130"/>
    </row>
    <row r="131" spans="1:11" hidden="1" x14ac:dyDescent="0.25">
      <c r="A131" s="98" t="s">
        <v>224</v>
      </c>
      <c r="B131" s="103" t="s">
        <v>88</v>
      </c>
      <c r="C131" s="100" t="s">
        <v>244</v>
      </c>
      <c r="D131" s="100" t="s">
        <v>245</v>
      </c>
      <c r="E131" s="100" t="s">
        <v>24</v>
      </c>
      <c r="F131" s="100"/>
      <c r="G131" s="100" t="s">
        <v>25</v>
      </c>
      <c r="H131" s="101">
        <v>26</v>
      </c>
      <c r="I131" s="102">
        <v>312036.86</v>
      </c>
      <c r="J131"/>
    </row>
    <row r="132" spans="1:11" hidden="1" x14ac:dyDescent="0.25">
      <c r="A132" s="98" t="s">
        <v>224</v>
      </c>
      <c r="B132" s="103" t="s">
        <v>88</v>
      </c>
      <c r="C132" s="100" t="s">
        <v>244</v>
      </c>
      <c r="D132" s="100" t="s">
        <v>246</v>
      </c>
      <c r="E132" s="100" t="s">
        <v>24</v>
      </c>
      <c r="F132" s="100"/>
      <c r="G132" s="100" t="s">
        <v>25</v>
      </c>
      <c r="H132" s="101">
        <v>43</v>
      </c>
      <c r="I132" s="102">
        <v>420213.76000000001</v>
      </c>
      <c r="J132"/>
    </row>
    <row r="133" spans="1:11" hidden="1" x14ac:dyDescent="0.25">
      <c r="A133" s="98" t="s">
        <v>224</v>
      </c>
      <c r="B133" s="103" t="s">
        <v>88</v>
      </c>
      <c r="C133" s="100" t="s">
        <v>247</v>
      </c>
      <c r="D133" s="100" t="s">
        <v>248</v>
      </c>
      <c r="E133" s="100" t="s">
        <v>24</v>
      </c>
      <c r="F133" s="100"/>
      <c r="G133" s="100" t="s">
        <v>25</v>
      </c>
      <c r="H133" s="101">
        <v>31</v>
      </c>
      <c r="I133" s="102">
        <v>106346.48</v>
      </c>
      <c r="J133"/>
    </row>
    <row r="134" spans="1:11" hidden="1" x14ac:dyDescent="0.25">
      <c r="A134" s="98" t="s">
        <v>224</v>
      </c>
      <c r="B134" s="103" t="s">
        <v>88</v>
      </c>
      <c r="C134" s="100" t="s">
        <v>247</v>
      </c>
      <c r="D134" s="100" t="s">
        <v>249</v>
      </c>
      <c r="E134" s="100" t="s">
        <v>24</v>
      </c>
      <c r="F134" s="100"/>
      <c r="G134" s="100" t="s">
        <v>25</v>
      </c>
      <c r="H134" s="101">
        <v>51</v>
      </c>
      <c r="I134" s="102">
        <v>365509.22</v>
      </c>
      <c r="J134"/>
    </row>
    <row r="135" spans="1:11" hidden="1" x14ac:dyDescent="0.25">
      <c r="A135" s="98" t="s">
        <v>224</v>
      </c>
      <c r="B135" s="103" t="s">
        <v>88</v>
      </c>
      <c r="C135" s="100" t="s">
        <v>250</v>
      </c>
      <c r="D135" s="100" t="s">
        <v>251</v>
      </c>
      <c r="E135" s="100" t="s">
        <v>24</v>
      </c>
      <c r="F135" s="100"/>
      <c r="G135" s="100" t="s">
        <v>25</v>
      </c>
      <c r="H135" s="101">
        <v>22</v>
      </c>
      <c r="I135" s="102">
        <v>266424.86</v>
      </c>
      <c r="J135"/>
    </row>
    <row r="136" spans="1:11" hidden="1" x14ac:dyDescent="0.25">
      <c r="A136" s="98" t="s">
        <v>224</v>
      </c>
      <c r="B136" s="103" t="s">
        <v>88</v>
      </c>
      <c r="C136" s="100" t="s">
        <v>252</v>
      </c>
      <c r="D136" s="100" t="s">
        <v>51</v>
      </c>
      <c r="E136" s="100" t="s">
        <v>24</v>
      </c>
      <c r="F136" s="100"/>
      <c r="G136" s="100" t="s">
        <v>52</v>
      </c>
      <c r="H136" s="101"/>
      <c r="I136" s="102">
        <v>7573.24</v>
      </c>
      <c r="J136"/>
    </row>
    <row r="137" spans="1:11" ht="33.75" hidden="1" customHeight="1" x14ac:dyDescent="0.25">
      <c r="A137" s="94"/>
      <c r="B137" s="146" t="s">
        <v>101</v>
      </c>
      <c r="C137" s="140"/>
      <c r="D137" s="140"/>
      <c r="E137" s="141"/>
      <c r="F137" s="95"/>
      <c r="G137" s="95"/>
      <c r="H137" s="96">
        <f>SUM(H126:H136)</f>
        <v>251</v>
      </c>
      <c r="I137" s="96">
        <f>SUM(I126:I136)</f>
        <v>2386445.7799999998</v>
      </c>
      <c r="J137"/>
    </row>
    <row r="138" spans="1:11" ht="39" customHeight="1" x14ac:dyDescent="0.25">
      <c r="A138" s="178" t="s">
        <v>255</v>
      </c>
      <c r="B138" s="179"/>
      <c r="C138" s="169"/>
      <c r="D138" s="169"/>
      <c r="E138" s="170"/>
      <c r="F138" s="178"/>
      <c r="G138" s="178"/>
      <c r="H138" s="180"/>
      <c r="I138" s="180">
        <f>I125+I137</f>
        <v>34236421.810000002</v>
      </c>
      <c r="J138"/>
      <c r="K138" s="84"/>
    </row>
    <row r="139" spans="1:11" ht="26.25" x14ac:dyDescent="0.25">
      <c r="A139" s="181"/>
      <c r="B139" s="182" t="s">
        <v>257</v>
      </c>
      <c r="C139" s="183"/>
      <c r="D139" s="183"/>
      <c r="E139" s="183"/>
      <c r="F139" s="183"/>
      <c r="G139" s="183"/>
      <c r="H139" s="184"/>
      <c r="I139" s="185">
        <f>I38+I64+I77+I120+I138</f>
        <v>259137000.00852799</v>
      </c>
      <c r="J139"/>
    </row>
    <row r="140" spans="1:11" x14ac:dyDescent="0.25">
      <c r="J140"/>
    </row>
    <row r="141" spans="1:11" x14ac:dyDescent="0.25">
      <c r="J141"/>
    </row>
    <row r="142" spans="1:11" x14ac:dyDescent="0.25">
      <c r="J142"/>
    </row>
    <row r="143" spans="1:11" x14ac:dyDescent="0.25">
      <c r="J143"/>
    </row>
    <row r="144" spans="1:11" x14ac:dyDescent="0.25">
      <c r="J144"/>
    </row>
    <row r="145" spans="10:10" x14ac:dyDescent="0.25">
      <c r="J145"/>
    </row>
    <row r="146" spans="10:10" x14ac:dyDescent="0.25">
      <c r="J146"/>
    </row>
    <row r="147" spans="10:10" ht="21.75" customHeight="1" x14ac:dyDescent="0.25">
      <c r="J147"/>
    </row>
    <row r="148" spans="10:10" x14ac:dyDescent="0.25">
      <c r="J148"/>
    </row>
    <row r="149" spans="10:10" x14ac:dyDescent="0.25">
      <c r="J149"/>
    </row>
    <row r="150" spans="10:10" x14ac:dyDescent="0.25">
      <c r="J150"/>
    </row>
    <row r="151" spans="10:10" ht="32.25" customHeight="1" x14ac:dyDescent="0.25">
      <c r="J151"/>
    </row>
    <row r="152" spans="10:10" x14ac:dyDescent="0.25">
      <c r="J152"/>
    </row>
    <row r="153" spans="10:10" x14ac:dyDescent="0.25">
      <c r="J153"/>
    </row>
    <row r="154" spans="10:10" x14ac:dyDescent="0.25">
      <c r="J154"/>
    </row>
    <row r="155" spans="10:10" ht="32.25" customHeight="1" x14ac:dyDescent="0.25">
      <c r="J155"/>
    </row>
    <row r="156" spans="10:10" x14ac:dyDescent="0.25">
      <c r="J156"/>
    </row>
    <row r="157" spans="10:10" x14ac:dyDescent="0.25">
      <c r="J157"/>
    </row>
    <row r="158" spans="10:10" x14ac:dyDescent="0.25">
      <c r="J158"/>
    </row>
    <row r="159" spans="10:10" x14ac:dyDescent="0.25">
      <c r="J159"/>
    </row>
    <row r="160" spans="10:10" x14ac:dyDescent="0.25">
      <c r="J160"/>
    </row>
    <row r="161" spans="10:10" x14ac:dyDescent="0.25">
      <c r="J161"/>
    </row>
    <row r="162" spans="10:10" x14ac:dyDescent="0.25">
      <c r="J162"/>
    </row>
    <row r="163" spans="10:10" x14ac:dyDescent="0.25">
      <c r="J163"/>
    </row>
    <row r="164" spans="10:10" x14ac:dyDescent="0.25">
      <c r="J164"/>
    </row>
    <row r="165" spans="10:10" x14ac:dyDescent="0.25">
      <c r="J165"/>
    </row>
    <row r="166" spans="10:10" x14ac:dyDescent="0.25">
      <c r="J166"/>
    </row>
    <row r="167" spans="10:10" x14ac:dyDescent="0.25">
      <c r="J167"/>
    </row>
    <row r="168" spans="10:10" x14ac:dyDescent="0.25">
      <c r="J168"/>
    </row>
    <row r="169" spans="10:10" x14ac:dyDescent="0.25">
      <c r="J169"/>
    </row>
    <row r="170" spans="10:10" x14ac:dyDescent="0.25">
      <c r="J170"/>
    </row>
    <row r="171" spans="10:10" x14ac:dyDescent="0.25">
      <c r="J171"/>
    </row>
    <row r="172" spans="10:10" x14ac:dyDescent="0.25">
      <c r="J172"/>
    </row>
    <row r="173" spans="10:10" x14ac:dyDescent="0.25">
      <c r="J173"/>
    </row>
    <row r="174" spans="10:10" x14ac:dyDescent="0.25">
      <c r="J174"/>
    </row>
    <row r="175" spans="10:10" x14ac:dyDescent="0.25">
      <c r="J175"/>
    </row>
    <row r="176" spans="10:10" ht="32.25" customHeight="1" x14ac:dyDescent="0.25">
      <c r="J176"/>
    </row>
    <row r="177" spans="10:11" x14ac:dyDescent="0.25">
      <c r="J177"/>
    </row>
    <row r="178" spans="10:11" x14ac:dyDescent="0.25">
      <c r="J178"/>
    </row>
    <row r="179" spans="10:11" x14ac:dyDescent="0.25">
      <c r="J179"/>
    </row>
    <row r="180" spans="10:11" x14ac:dyDescent="0.25">
      <c r="J180"/>
    </row>
    <row r="181" spans="10:11" x14ac:dyDescent="0.25">
      <c r="J181"/>
    </row>
    <row r="182" spans="10:11" ht="33.75" customHeight="1" x14ac:dyDescent="0.25">
      <c r="J182"/>
    </row>
    <row r="183" spans="10:11" ht="40.5" customHeight="1" x14ac:dyDescent="0.25">
      <c r="J183"/>
      <c r="K183" s="84"/>
    </row>
    <row r="184" spans="10:11" x14ac:dyDescent="0.25">
      <c r="J184"/>
    </row>
    <row r="185" spans="10:11" x14ac:dyDescent="0.25">
      <c r="J185"/>
    </row>
    <row r="186" spans="10:11" x14ac:dyDescent="0.25">
      <c r="J186"/>
    </row>
    <row r="187" spans="10:11" x14ac:dyDescent="0.25">
      <c r="J187"/>
    </row>
    <row r="188" spans="10:11" x14ac:dyDescent="0.25">
      <c r="J188"/>
    </row>
    <row r="189" spans="10:11" x14ac:dyDescent="0.25">
      <c r="J189"/>
    </row>
    <row r="190" spans="10:11" x14ac:dyDescent="0.25">
      <c r="J190"/>
    </row>
    <row r="191" spans="10:11" x14ac:dyDescent="0.25">
      <c r="J191"/>
    </row>
    <row r="192" spans="10:11" x14ac:dyDescent="0.25">
      <c r="J192"/>
    </row>
    <row r="193" spans="10:10" x14ac:dyDescent="0.25">
      <c r="J193"/>
    </row>
    <row r="194" spans="10:10" x14ac:dyDescent="0.25">
      <c r="J194"/>
    </row>
    <row r="195" spans="10:10" x14ac:dyDescent="0.25">
      <c r="J195"/>
    </row>
    <row r="196" spans="10:10" x14ac:dyDescent="0.25">
      <c r="J196"/>
    </row>
    <row r="197" spans="10:10" x14ac:dyDescent="0.25">
      <c r="J197"/>
    </row>
    <row r="198" spans="10:10" x14ac:dyDescent="0.25">
      <c r="J198"/>
    </row>
    <row r="199" spans="10:10" x14ac:dyDescent="0.25">
      <c r="J199"/>
    </row>
    <row r="200" spans="10:10" x14ac:dyDescent="0.25">
      <c r="J200"/>
    </row>
    <row r="201" spans="10:10" x14ac:dyDescent="0.25">
      <c r="J201"/>
    </row>
    <row r="202" spans="10:10" x14ac:dyDescent="0.25">
      <c r="J202"/>
    </row>
    <row r="203" spans="10:10" x14ac:dyDescent="0.25">
      <c r="J203"/>
    </row>
    <row r="204" spans="10:10" x14ac:dyDescent="0.25">
      <c r="J204"/>
    </row>
    <row r="205" spans="10:10" x14ac:dyDescent="0.25">
      <c r="J205"/>
    </row>
    <row r="206" spans="10:10" x14ac:dyDescent="0.25">
      <c r="J206"/>
    </row>
    <row r="207" spans="10:10" x14ac:dyDescent="0.25">
      <c r="J207"/>
    </row>
    <row r="208" spans="10:10" x14ac:dyDescent="0.25">
      <c r="J208"/>
    </row>
    <row r="209" spans="10:10" x14ac:dyDescent="0.25">
      <c r="J209"/>
    </row>
    <row r="210" spans="10:10" x14ac:dyDescent="0.25">
      <c r="J210"/>
    </row>
    <row r="211" spans="10:10" x14ac:dyDescent="0.25">
      <c r="J211"/>
    </row>
    <row r="212" spans="10:10" x14ac:dyDescent="0.25">
      <c r="J212"/>
    </row>
    <row r="213" spans="10:10" x14ac:dyDescent="0.25">
      <c r="J213"/>
    </row>
    <row r="214" spans="10:10" x14ac:dyDescent="0.25">
      <c r="J214"/>
    </row>
    <row r="215" spans="10:10" x14ac:dyDescent="0.25">
      <c r="J215"/>
    </row>
    <row r="216" spans="10:10" x14ac:dyDescent="0.25">
      <c r="J216"/>
    </row>
    <row r="217" spans="10:10" x14ac:dyDescent="0.25">
      <c r="J217"/>
    </row>
    <row r="218" spans="10:10" x14ac:dyDescent="0.25">
      <c r="J218"/>
    </row>
    <row r="219" spans="10:10" x14ac:dyDescent="0.25">
      <c r="J219"/>
    </row>
    <row r="220" spans="10:10" x14ac:dyDescent="0.25">
      <c r="J220"/>
    </row>
    <row r="221" spans="10:10" x14ac:dyDescent="0.25">
      <c r="J221"/>
    </row>
    <row r="222" spans="10:10" x14ac:dyDescent="0.25">
      <c r="J222"/>
    </row>
    <row r="223" spans="10:10" x14ac:dyDescent="0.25">
      <c r="J223"/>
    </row>
    <row r="224" spans="10:10" x14ac:dyDescent="0.25">
      <c r="J224"/>
    </row>
    <row r="225" spans="10:10" x14ac:dyDescent="0.25">
      <c r="J225"/>
    </row>
    <row r="226" spans="10:10" x14ac:dyDescent="0.25">
      <c r="J226"/>
    </row>
    <row r="227" spans="10:10" x14ac:dyDescent="0.25">
      <c r="J227"/>
    </row>
    <row r="228" spans="10:10" x14ac:dyDescent="0.25">
      <c r="J228"/>
    </row>
    <row r="229" spans="10:10" x14ac:dyDescent="0.25">
      <c r="J229"/>
    </row>
    <row r="230" spans="10:10" x14ac:dyDescent="0.25">
      <c r="J230"/>
    </row>
    <row r="231" spans="10:10" x14ac:dyDescent="0.25">
      <c r="J231"/>
    </row>
    <row r="232" spans="10:10" x14ac:dyDescent="0.25">
      <c r="J232"/>
    </row>
    <row r="233" spans="10:10" x14ac:dyDescent="0.25">
      <c r="J233"/>
    </row>
    <row r="234" spans="10:10" x14ac:dyDescent="0.25">
      <c r="J234"/>
    </row>
    <row r="235" spans="10:10" x14ac:dyDescent="0.25">
      <c r="J235"/>
    </row>
    <row r="236" spans="10:10" x14ac:dyDescent="0.25">
      <c r="J236"/>
    </row>
    <row r="237" spans="10:10" x14ac:dyDescent="0.25">
      <c r="J237"/>
    </row>
    <row r="238" spans="10:10" x14ac:dyDescent="0.25">
      <c r="J238"/>
    </row>
    <row r="239" spans="10:10" x14ac:dyDescent="0.25">
      <c r="J239"/>
    </row>
    <row r="240" spans="10:10" x14ac:dyDescent="0.25">
      <c r="J240"/>
    </row>
    <row r="241" spans="10:11" x14ac:dyDescent="0.25">
      <c r="J241"/>
    </row>
    <row r="242" spans="10:11" x14ac:dyDescent="0.25">
      <c r="J242"/>
    </row>
    <row r="243" spans="10:11" x14ac:dyDescent="0.25">
      <c r="J243"/>
    </row>
    <row r="244" spans="10:11" x14ac:dyDescent="0.25">
      <c r="J244"/>
    </row>
    <row r="245" spans="10:11" x14ac:dyDescent="0.25">
      <c r="J245"/>
    </row>
    <row r="246" spans="10:11" x14ac:dyDescent="0.25">
      <c r="J246"/>
    </row>
    <row r="247" spans="10:11" x14ac:dyDescent="0.25">
      <c r="J247"/>
    </row>
    <row r="248" spans="10:11" x14ac:dyDescent="0.25">
      <c r="J248"/>
    </row>
    <row r="249" spans="10:11" x14ac:dyDescent="0.25">
      <c r="J249"/>
    </row>
    <row r="250" spans="10:11" x14ac:dyDescent="0.25">
      <c r="J250"/>
    </row>
    <row r="251" spans="10:11" x14ac:dyDescent="0.25">
      <c r="J251"/>
    </row>
    <row r="252" spans="10:11" ht="30" customHeight="1" x14ac:dyDescent="0.25">
      <c r="J252" s="2"/>
    </row>
    <row r="253" spans="10:11" ht="38.25" customHeight="1" x14ac:dyDescent="0.25">
      <c r="J253"/>
      <c r="K253" s="84" t="e">
        <f>#REF!+#REF!+#REF!+#REF!</f>
        <v>#REF!</v>
      </c>
    </row>
    <row r="254" spans="10:11" x14ac:dyDescent="0.25">
      <c r="J254"/>
    </row>
    <row r="255" spans="10:11" x14ac:dyDescent="0.25">
      <c r="J255"/>
    </row>
    <row r="256" spans="10:11" x14ac:dyDescent="0.25">
      <c r="J256"/>
    </row>
    <row r="257" spans="10:10" x14ac:dyDescent="0.25">
      <c r="J257"/>
    </row>
    <row r="258" spans="10:10" x14ac:dyDescent="0.25">
      <c r="J258"/>
    </row>
    <row r="259" spans="10:10" x14ac:dyDescent="0.25">
      <c r="J259"/>
    </row>
    <row r="260" spans="10:10" x14ac:dyDescent="0.25">
      <c r="J260"/>
    </row>
    <row r="261" spans="10:10" x14ac:dyDescent="0.25">
      <c r="J261"/>
    </row>
    <row r="262" spans="10:10" x14ac:dyDescent="0.25">
      <c r="J262"/>
    </row>
    <row r="263" spans="10:10" x14ac:dyDescent="0.25">
      <c r="J263"/>
    </row>
    <row r="264" spans="10:10" ht="37.5" customHeight="1" x14ac:dyDescent="0.25">
      <c r="J264"/>
    </row>
    <row r="265" spans="10:10" x14ac:dyDescent="0.25">
      <c r="J265"/>
    </row>
    <row r="266" spans="10:10" x14ac:dyDescent="0.25">
      <c r="J266"/>
    </row>
    <row r="267" spans="10:10" x14ac:dyDescent="0.25">
      <c r="J267"/>
    </row>
    <row r="268" spans="10:10" x14ac:dyDescent="0.25">
      <c r="J268"/>
    </row>
    <row r="269" spans="10:10" x14ac:dyDescent="0.25">
      <c r="J269"/>
    </row>
    <row r="270" spans="10:10" x14ac:dyDescent="0.25">
      <c r="J270"/>
    </row>
    <row r="271" spans="10:10" x14ac:dyDescent="0.25">
      <c r="J271"/>
    </row>
    <row r="272" spans="10:10" x14ac:dyDescent="0.25">
      <c r="J272"/>
    </row>
    <row r="273" spans="10:11" x14ac:dyDescent="0.25">
      <c r="J273"/>
    </row>
    <row r="274" spans="10:11" x14ac:dyDescent="0.25">
      <c r="J274"/>
    </row>
    <row r="275" spans="10:11" x14ac:dyDescent="0.25">
      <c r="J275"/>
    </row>
    <row r="276" spans="10:11" x14ac:dyDescent="0.25">
      <c r="J276"/>
    </row>
    <row r="277" spans="10:11" x14ac:dyDescent="0.25">
      <c r="J277"/>
    </row>
    <row r="278" spans="10:11" x14ac:dyDescent="0.25">
      <c r="J278"/>
    </row>
    <row r="279" spans="10:11" ht="29.25" customHeight="1" x14ac:dyDescent="0.25">
      <c r="J279"/>
      <c r="K279" s="83"/>
    </row>
    <row r="280" spans="10:11" x14ac:dyDescent="0.25">
      <c r="J280"/>
    </row>
    <row r="281" spans="10:11" ht="15" customHeight="1" x14ac:dyDescent="0.25">
      <c r="J281"/>
    </row>
    <row r="282" spans="10:11" x14ac:dyDescent="0.25">
      <c r="J282"/>
    </row>
    <row r="283" spans="10:11" x14ac:dyDescent="0.25">
      <c r="J283"/>
    </row>
    <row r="284" spans="10:11" x14ac:dyDescent="0.25">
      <c r="J284"/>
    </row>
    <row r="285" spans="10:11" x14ac:dyDescent="0.25">
      <c r="J285"/>
    </row>
    <row r="286" spans="10:11" x14ac:dyDescent="0.25">
      <c r="J286"/>
    </row>
    <row r="287" spans="10:11" x14ac:dyDescent="0.25">
      <c r="J287"/>
    </row>
    <row r="288" spans="10:11" ht="32.25" customHeight="1" x14ac:dyDescent="0.25">
      <c r="J288"/>
    </row>
    <row r="289" spans="10:12" x14ac:dyDescent="0.25">
      <c r="J289"/>
    </row>
    <row r="290" spans="10:12" x14ac:dyDescent="0.25">
      <c r="J290"/>
    </row>
    <row r="291" spans="10:12" x14ac:dyDescent="0.25">
      <c r="J291"/>
    </row>
    <row r="292" spans="10:12" x14ac:dyDescent="0.25">
      <c r="J292"/>
    </row>
    <row r="293" spans="10:12" x14ac:dyDescent="0.25">
      <c r="J293"/>
    </row>
    <row r="294" spans="10:12" x14ac:dyDescent="0.25">
      <c r="J294"/>
    </row>
    <row r="295" spans="10:12" x14ac:dyDescent="0.25">
      <c r="J295"/>
    </row>
    <row r="296" spans="10:12" x14ac:dyDescent="0.25">
      <c r="J296"/>
    </row>
    <row r="301" spans="10:12" ht="15" customHeight="1" x14ac:dyDescent="0.25"/>
    <row r="302" spans="10:12" ht="40.5" customHeight="1" x14ac:dyDescent="0.25">
      <c r="L302" s="83" t="e">
        <f>#REF!+#REF!+I139+#REF!</f>
        <v>#REF!</v>
      </c>
    </row>
    <row r="304" spans="10:12" ht="69.75" customHeight="1" x14ac:dyDescent="0.25">
      <c r="K304" s="104"/>
      <c r="L304" s="83" t="e">
        <f>#REF!+#REF!+#REF!+#REF!</f>
        <v>#REF!</v>
      </c>
    </row>
    <row r="306" spans="12:14" x14ac:dyDescent="0.25">
      <c r="L306" s="83"/>
    </row>
    <row r="309" spans="12:14" ht="14.25" customHeight="1" x14ac:dyDescent="0.25"/>
    <row r="315" spans="12:14" x14ac:dyDescent="0.25">
      <c r="N315" s="64"/>
    </row>
  </sheetData>
  <mergeCells count="1">
    <mergeCell ref="A1:I7"/>
  </mergeCells>
  <pageMargins left="0.70866141732283472" right="0.70866141732283472" top="0.74803149606299213" bottom="0.74803149606299213" header="0.31496062992125984" footer="0.31496062992125984"/>
  <pageSetup paperSize="9" scale="29" fitToHeight="30" orientation="landscape" r:id="rId1"/>
  <colBreaks count="1" manualBreakCount="1">
    <brk id="15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3CF2-83EA-4CA1-A7A8-C42456B947DB}">
  <sheetPr>
    <pageSetUpPr fitToPage="1"/>
  </sheetPr>
  <dimension ref="A1:I59"/>
  <sheetViews>
    <sheetView topLeftCell="A49" workbookViewId="0">
      <selection sqref="A1:I59"/>
    </sheetView>
  </sheetViews>
  <sheetFormatPr baseColWidth="10" defaultRowHeight="15" x14ac:dyDescent="0.25"/>
  <cols>
    <col min="1" max="1" width="15.28515625" bestFit="1" customWidth="1"/>
    <col min="2" max="2" width="13.42578125" customWidth="1"/>
    <col min="3" max="3" width="26.140625" bestFit="1" customWidth="1"/>
    <col min="4" max="4" width="29.85546875" customWidth="1"/>
    <col min="5" max="5" width="21" customWidth="1"/>
    <col min="6" max="6" width="13.28515625" bestFit="1" customWidth="1"/>
    <col min="7" max="7" width="34" customWidth="1"/>
    <col min="8" max="8" width="18" bestFit="1" customWidth="1"/>
    <col min="9" max="9" width="45" customWidth="1"/>
  </cols>
  <sheetData>
    <row r="1" spans="1:9" ht="15" customHeight="1" x14ac:dyDescent="0.25">
      <c r="A1" s="261" t="s">
        <v>256</v>
      </c>
      <c r="B1" s="261"/>
      <c r="C1" s="261"/>
      <c r="D1" s="261"/>
      <c r="E1" s="261"/>
      <c r="F1" s="261"/>
      <c r="G1" s="261"/>
      <c r="H1" s="261"/>
      <c r="I1" s="261"/>
    </row>
    <row r="2" spans="1:9" ht="15" customHeight="1" x14ac:dyDescent="0.25">
      <c r="A2" s="261"/>
      <c r="B2" s="261"/>
      <c r="C2" s="261"/>
      <c r="D2" s="261"/>
      <c r="E2" s="261"/>
      <c r="F2" s="261"/>
      <c r="G2" s="261"/>
      <c r="H2" s="261"/>
      <c r="I2" s="261"/>
    </row>
    <row r="3" spans="1:9" ht="15" customHeight="1" x14ac:dyDescent="0.25">
      <c r="A3" s="261"/>
      <c r="B3" s="261"/>
      <c r="C3" s="261"/>
      <c r="D3" s="261"/>
      <c r="E3" s="261"/>
      <c r="F3" s="261"/>
      <c r="G3" s="261"/>
      <c r="H3" s="261"/>
      <c r="I3" s="261"/>
    </row>
    <row r="4" spans="1:9" ht="15" customHeight="1" x14ac:dyDescent="0.25">
      <c r="A4" s="261"/>
      <c r="B4" s="261"/>
      <c r="C4" s="261"/>
      <c r="D4" s="261"/>
      <c r="E4" s="261"/>
      <c r="F4" s="261"/>
      <c r="G4" s="261"/>
      <c r="H4" s="261"/>
      <c r="I4" s="261"/>
    </row>
    <row r="5" spans="1:9" ht="15" customHeight="1" x14ac:dyDescent="0.25">
      <c r="A5" s="261"/>
      <c r="B5" s="261"/>
      <c r="C5" s="261"/>
      <c r="D5" s="261"/>
      <c r="E5" s="261"/>
      <c r="F5" s="261"/>
      <c r="G5" s="261"/>
      <c r="H5" s="261"/>
      <c r="I5" s="261"/>
    </row>
    <row r="6" spans="1:9" ht="15" customHeight="1" x14ac:dyDescent="0.25">
      <c r="A6" s="261"/>
      <c r="B6" s="261"/>
      <c r="C6" s="261"/>
      <c r="D6" s="261"/>
      <c r="E6" s="261"/>
      <c r="F6" s="261"/>
      <c r="G6" s="261"/>
      <c r="H6" s="261"/>
      <c r="I6" s="261"/>
    </row>
    <row r="7" spans="1:9" ht="81" customHeight="1" x14ac:dyDescent="0.25">
      <c r="A7" s="261"/>
      <c r="B7" s="261"/>
      <c r="C7" s="261"/>
      <c r="D7" s="261"/>
      <c r="E7" s="261"/>
      <c r="F7" s="261"/>
      <c r="G7" s="261"/>
      <c r="H7" s="261"/>
      <c r="I7" s="261"/>
    </row>
    <row r="8" spans="1:9" ht="30" x14ac:dyDescent="0.25">
      <c r="A8" s="139" t="s">
        <v>0</v>
      </c>
      <c r="B8" s="110" t="s">
        <v>1</v>
      </c>
      <c r="C8" s="111" t="s">
        <v>2</v>
      </c>
      <c r="D8" s="110" t="s">
        <v>3</v>
      </c>
      <c r="E8" s="110" t="s">
        <v>4</v>
      </c>
      <c r="F8" s="110" t="s">
        <v>5</v>
      </c>
      <c r="G8" s="110" t="s">
        <v>6</v>
      </c>
      <c r="H8" s="112" t="s">
        <v>7</v>
      </c>
      <c r="I8" s="111" t="s">
        <v>8</v>
      </c>
    </row>
    <row r="9" spans="1:9" ht="30" x14ac:dyDescent="0.25">
      <c r="A9" s="219" t="s">
        <v>9</v>
      </c>
      <c r="B9" s="148" t="s">
        <v>10</v>
      </c>
      <c r="C9" s="219" t="s">
        <v>12</v>
      </c>
      <c r="D9" s="219" t="s">
        <v>15</v>
      </c>
      <c r="E9" s="219" t="s">
        <v>16</v>
      </c>
      <c r="F9" s="220">
        <v>14</v>
      </c>
      <c r="G9" s="219" t="s">
        <v>11</v>
      </c>
      <c r="H9" s="221">
        <v>709</v>
      </c>
      <c r="I9" s="222">
        <v>24400000</v>
      </c>
    </row>
    <row r="10" spans="1:9" ht="30" x14ac:dyDescent="0.25">
      <c r="A10" s="219" t="s">
        <v>9</v>
      </c>
      <c r="B10" s="148" t="s">
        <v>10</v>
      </c>
      <c r="C10" s="219" t="s">
        <v>13</v>
      </c>
      <c r="D10" s="219" t="s">
        <v>17</v>
      </c>
      <c r="E10" s="219" t="s">
        <v>18</v>
      </c>
      <c r="F10" s="220">
        <v>15</v>
      </c>
      <c r="G10" s="219" t="s">
        <v>11</v>
      </c>
      <c r="H10" s="221">
        <v>1760</v>
      </c>
      <c r="I10" s="222">
        <v>15000000</v>
      </c>
    </row>
    <row r="11" spans="1:9" x14ac:dyDescent="0.25">
      <c r="A11" s="52"/>
      <c r="B11" s="113" t="s">
        <v>279</v>
      </c>
      <c r="C11" s="113"/>
      <c r="D11" s="113"/>
      <c r="E11" s="113"/>
      <c r="F11" s="54"/>
      <c r="G11" s="55"/>
      <c r="H11" s="211"/>
      <c r="I11" s="212">
        <f>SUM(I9:I10)</f>
        <v>39400000</v>
      </c>
    </row>
    <row r="12" spans="1:9" ht="165" x14ac:dyDescent="0.25">
      <c r="A12" s="223" t="s">
        <v>9</v>
      </c>
      <c r="B12" s="22" t="s">
        <v>54</v>
      </c>
      <c r="C12" s="223" t="s">
        <v>12</v>
      </c>
      <c r="D12" s="223" t="s">
        <v>57</v>
      </c>
      <c r="E12" s="223" t="s">
        <v>58</v>
      </c>
      <c r="F12" s="224">
        <v>0</v>
      </c>
      <c r="G12" s="223" t="s">
        <v>59</v>
      </c>
      <c r="H12" s="225">
        <v>3000</v>
      </c>
      <c r="I12" s="224">
        <v>2283760.0299999998</v>
      </c>
    </row>
    <row r="13" spans="1:9" ht="120" x14ac:dyDescent="0.25">
      <c r="A13" s="223" t="s">
        <v>9</v>
      </c>
      <c r="B13" s="22" t="s">
        <v>54</v>
      </c>
      <c r="C13" s="223" t="s">
        <v>40</v>
      </c>
      <c r="D13" s="223" t="s">
        <v>62</v>
      </c>
      <c r="E13" s="223" t="s">
        <v>60</v>
      </c>
      <c r="F13" s="224">
        <v>0</v>
      </c>
      <c r="G13" s="223" t="s">
        <v>61</v>
      </c>
      <c r="H13" s="225">
        <v>4000</v>
      </c>
      <c r="I13" s="224">
        <v>7000000</v>
      </c>
    </row>
    <row r="14" spans="1:9" ht="90" x14ac:dyDescent="0.25">
      <c r="A14" s="223" t="s">
        <v>9</v>
      </c>
      <c r="B14" s="22" t="s">
        <v>54</v>
      </c>
      <c r="C14" s="223" t="s">
        <v>63</v>
      </c>
      <c r="D14" s="223" t="s">
        <v>64</v>
      </c>
      <c r="E14" s="223" t="s">
        <v>65</v>
      </c>
      <c r="F14" s="224">
        <v>0</v>
      </c>
      <c r="G14" s="223" t="s">
        <v>61</v>
      </c>
      <c r="H14" s="225">
        <v>3120</v>
      </c>
      <c r="I14" s="224">
        <v>788149.97</v>
      </c>
    </row>
    <row r="15" spans="1:9" x14ac:dyDescent="0.25">
      <c r="A15" s="126" t="s">
        <v>255</v>
      </c>
      <c r="B15" s="126"/>
      <c r="C15" s="126"/>
      <c r="D15" s="126"/>
      <c r="E15" s="126"/>
      <c r="F15" s="126"/>
      <c r="G15" s="126"/>
      <c r="H15" s="126"/>
      <c r="I15" s="241">
        <v>10071910</v>
      </c>
    </row>
    <row r="16" spans="1:9" ht="15.75" x14ac:dyDescent="0.25">
      <c r="A16" s="155" t="s">
        <v>254</v>
      </c>
      <c r="B16" s="155"/>
      <c r="C16" s="155"/>
      <c r="D16" s="155"/>
      <c r="E16" s="155"/>
      <c r="F16" s="213"/>
      <c r="G16" s="155"/>
      <c r="H16" s="214"/>
      <c r="I16" s="213">
        <f>+I15+I11</f>
        <v>49471910</v>
      </c>
    </row>
    <row r="17" spans="1:9" ht="38.25" x14ac:dyDescent="0.25">
      <c r="A17" s="9" t="s">
        <v>69</v>
      </c>
      <c r="B17" s="7" t="s">
        <v>10</v>
      </c>
      <c r="C17" s="8" t="s">
        <v>70</v>
      </c>
      <c r="D17" s="8" t="s">
        <v>71</v>
      </c>
      <c r="E17" s="8" t="s">
        <v>72</v>
      </c>
      <c r="F17" s="240">
        <v>8</v>
      </c>
      <c r="G17" s="8" t="s">
        <v>11</v>
      </c>
      <c r="H17" s="224">
        <v>2000</v>
      </c>
      <c r="I17" s="224">
        <v>8000000</v>
      </c>
    </row>
    <row r="18" spans="1:9" ht="63.75" x14ac:dyDescent="0.25">
      <c r="A18" s="9" t="s">
        <v>69</v>
      </c>
      <c r="B18" s="7" t="s">
        <v>10</v>
      </c>
      <c r="C18" s="8" t="s">
        <v>73</v>
      </c>
      <c r="D18" s="8" t="s">
        <v>74</v>
      </c>
      <c r="E18" s="8" t="s">
        <v>122</v>
      </c>
      <c r="F18" s="240">
        <v>10</v>
      </c>
      <c r="G18" s="8" t="s">
        <v>19</v>
      </c>
      <c r="H18" s="224">
        <v>655</v>
      </c>
      <c r="I18" s="224">
        <v>6000000</v>
      </c>
    </row>
    <row r="19" spans="1:9" ht="51" x14ac:dyDescent="0.25">
      <c r="A19" s="9" t="s">
        <v>69</v>
      </c>
      <c r="B19" s="7" t="s">
        <v>10</v>
      </c>
      <c r="C19" s="8" t="s">
        <v>75</v>
      </c>
      <c r="D19" s="8" t="s">
        <v>76</v>
      </c>
      <c r="E19" s="8" t="s">
        <v>123</v>
      </c>
      <c r="F19" s="240">
        <v>3.6</v>
      </c>
      <c r="G19" s="8" t="s">
        <v>11</v>
      </c>
      <c r="H19" s="224">
        <v>560</v>
      </c>
      <c r="I19" s="224">
        <v>2283548.66</v>
      </c>
    </row>
    <row r="20" spans="1:9" ht="76.5" x14ac:dyDescent="0.25">
      <c r="A20" s="9" t="s">
        <v>69</v>
      </c>
      <c r="B20" s="7" t="s">
        <v>10</v>
      </c>
      <c r="C20" s="8" t="s">
        <v>77</v>
      </c>
      <c r="D20" s="8" t="s">
        <v>78</v>
      </c>
      <c r="E20" s="8" t="s">
        <v>124</v>
      </c>
      <c r="F20" s="240">
        <v>20</v>
      </c>
      <c r="G20" s="8" t="s">
        <v>11</v>
      </c>
      <c r="H20" s="224">
        <v>6500</v>
      </c>
      <c r="I20" s="224">
        <v>10000000</v>
      </c>
    </row>
    <row r="21" spans="1:9" ht="127.5" x14ac:dyDescent="0.25">
      <c r="A21" s="9" t="s">
        <v>69</v>
      </c>
      <c r="B21" s="7" t="s">
        <v>10</v>
      </c>
      <c r="C21" s="8" t="s">
        <v>79</v>
      </c>
      <c r="D21" s="8" t="s">
        <v>80</v>
      </c>
      <c r="E21" s="8" t="s">
        <v>125</v>
      </c>
      <c r="F21" s="240">
        <v>7</v>
      </c>
      <c r="G21" s="8" t="s">
        <v>19</v>
      </c>
      <c r="H21" s="224">
        <v>7800</v>
      </c>
      <c r="I21" s="224">
        <v>7231126.7999999998</v>
      </c>
    </row>
    <row r="22" spans="1:9" ht="76.5" x14ac:dyDescent="0.25">
      <c r="A22" s="9" t="s">
        <v>69</v>
      </c>
      <c r="B22" s="7" t="s">
        <v>10</v>
      </c>
      <c r="C22" s="8" t="s">
        <v>81</v>
      </c>
      <c r="D22" s="8" t="s">
        <v>82</v>
      </c>
      <c r="E22" s="8" t="s">
        <v>126</v>
      </c>
      <c r="F22" s="240">
        <v>12</v>
      </c>
      <c r="G22" s="8" t="s">
        <v>11</v>
      </c>
      <c r="H22" s="224">
        <v>3400</v>
      </c>
      <c r="I22" s="224">
        <v>9046644.8100000005</v>
      </c>
    </row>
    <row r="23" spans="1:9" ht="38.25" x14ac:dyDescent="0.25">
      <c r="A23" s="9" t="s">
        <v>69</v>
      </c>
      <c r="B23" s="10" t="s">
        <v>10</v>
      </c>
      <c r="C23" s="6" t="s">
        <v>83</v>
      </c>
      <c r="D23" s="6" t="s">
        <v>84</v>
      </c>
      <c r="E23" s="6" t="s">
        <v>127</v>
      </c>
      <c r="F23" s="240">
        <v>6</v>
      </c>
      <c r="G23" s="6" t="s">
        <v>19</v>
      </c>
      <c r="H23" s="224">
        <v>3000</v>
      </c>
      <c r="I23" s="224">
        <v>3000000</v>
      </c>
    </row>
    <row r="24" spans="1:9" x14ac:dyDescent="0.25">
      <c r="A24" s="117"/>
      <c r="B24" s="118" t="s">
        <v>254</v>
      </c>
      <c r="C24" s="119"/>
      <c r="D24" s="120"/>
      <c r="E24" s="120"/>
      <c r="F24" s="120"/>
      <c r="G24" s="120"/>
      <c r="H24" s="106"/>
      <c r="I24" s="105">
        <f>SUM(I17:I23)</f>
        <v>45561320.270000003</v>
      </c>
    </row>
    <row r="25" spans="1:9" ht="38.25" x14ac:dyDescent="0.25">
      <c r="A25" s="9" t="s">
        <v>69</v>
      </c>
      <c r="B25" s="22" t="s">
        <v>54</v>
      </c>
      <c r="C25" s="6" t="s">
        <v>103</v>
      </c>
      <c r="D25" s="6" t="s">
        <v>104</v>
      </c>
      <c r="E25" s="6" t="s">
        <v>105</v>
      </c>
      <c r="F25" s="226"/>
      <c r="G25" s="6" t="s">
        <v>102</v>
      </c>
      <c r="H25" s="71">
        <v>700</v>
      </c>
      <c r="I25" s="11">
        <f>1197876.5+35720.17</f>
        <v>1233596.67</v>
      </c>
    </row>
    <row r="26" spans="1:9" ht="25.5" x14ac:dyDescent="0.25">
      <c r="A26" s="9" t="s">
        <v>69</v>
      </c>
      <c r="B26" s="22" t="s">
        <v>54</v>
      </c>
      <c r="C26" s="6" t="s">
        <v>106</v>
      </c>
      <c r="D26" s="6" t="s">
        <v>107</v>
      </c>
      <c r="E26" s="6" t="s">
        <v>108</v>
      </c>
      <c r="F26" s="226"/>
      <c r="G26" s="6" t="s">
        <v>102</v>
      </c>
      <c r="H26" s="71">
        <v>2650</v>
      </c>
      <c r="I26" s="11">
        <v>1200000</v>
      </c>
    </row>
    <row r="27" spans="1:9" ht="25.5" x14ac:dyDescent="0.25">
      <c r="A27" s="9" t="s">
        <v>69</v>
      </c>
      <c r="B27" s="22" t="s">
        <v>54</v>
      </c>
      <c r="C27" s="6" t="s">
        <v>103</v>
      </c>
      <c r="D27" s="6" t="s">
        <v>109</v>
      </c>
      <c r="E27" s="6" t="s">
        <v>110</v>
      </c>
      <c r="F27" s="226"/>
      <c r="G27" s="6" t="s">
        <v>102</v>
      </c>
      <c r="H27" s="71">
        <v>120</v>
      </c>
      <c r="I27" s="11">
        <v>500000</v>
      </c>
    </row>
    <row r="28" spans="1:9" ht="76.5" x14ac:dyDescent="0.25">
      <c r="A28" s="9" t="s">
        <v>69</v>
      </c>
      <c r="B28" s="22" t="s">
        <v>54</v>
      </c>
      <c r="C28" s="6" t="s">
        <v>79</v>
      </c>
      <c r="D28" s="6" t="s">
        <v>111</v>
      </c>
      <c r="E28" s="6" t="s">
        <v>112</v>
      </c>
      <c r="F28" s="226"/>
      <c r="G28" s="6" t="s">
        <v>102</v>
      </c>
      <c r="H28" s="71">
        <v>780</v>
      </c>
      <c r="I28" s="11">
        <v>800000</v>
      </c>
    </row>
    <row r="29" spans="1:9" ht="25.5" x14ac:dyDescent="0.25">
      <c r="A29" s="9" t="s">
        <v>69</v>
      </c>
      <c r="B29" s="22" t="s">
        <v>54</v>
      </c>
      <c r="C29" s="6" t="s">
        <v>113</v>
      </c>
      <c r="D29" s="6" t="s">
        <v>114</v>
      </c>
      <c r="E29" s="6" t="s">
        <v>115</v>
      </c>
      <c r="F29" s="226"/>
      <c r="G29" s="6" t="s">
        <v>116</v>
      </c>
      <c r="H29" s="71">
        <v>1000</v>
      </c>
      <c r="I29" s="11">
        <v>300000</v>
      </c>
    </row>
    <row r="30" spans="1:9" ht="25.5" x14ac:dyDescent="0.25">
      <c r="A30" s="9" t="s">
        <v>69</v>
      </c>
      <c r="B30" s="22" t="s">
        <v>54</v>
      </c>
      <c r="C30" s="6" t="s">
        <v>117</v>
      </c>
      <c r="D30" s="6" t="s">
        <v>118</v>
      </c>
      <c r="E30" s="6" t="s">
        <v>119</v>
      </c>
      <c r="F30" s="226"/>
      <c r="G30" s="6" t="s">
        <v>102</v>
      </c>
      <c r="H30" s="71">
        <v>320</v>
      </c>
      <c r="I30" s="11">
        <v>0</v>
      </c>
    </row>
    <row r="31" spans="1:9" ht="25.5" x14ac:dyDescent="0.25">
      <c r="A31" s="9" t="s">
        <v>69</v>
      </c>
      <c r="B31" s="22" t="s">
        <v>54</v>
      </c>
      <c r="C31" s="6" t="s">
        <v>117</v>
      </c>
      <c r="D31" s="6" t="s">
        <v>120</v>
      </c>
      <c r="E31" s="6" t="s">
        <v>121</v>
      </c>
      <c r="F31" s="226"/>
      <c r="G31" s="6"/>
      <c r="H31" s="71">
        <v>520</v>
      </c>
      <c r="I31" s="11">
        <v>500000</v>
      </c>
    </row>
    <row r="32" spans="1:9" x14ac:dyDescent="0.25">
      <c r="A32" s="126"/>
      <c r="B32" s="127" t="s">
        <v>255</v>
      </c>
      <c r="C32" s="128"/>
      <c r="D32" s="128"/>
      <c r="E32" s="129"/>
      <c r="F32" s="129"/>
      <c r="G32" s="129"/>
      <c r="H32" s="72"/>
      <c r="I32" s="23">
        <f>SUM(I25:I31)</f>
        <v>4533596.67</v>
      </c>
    </row>
    <row r="33" spans="1:9" ht="20.25" x14ac:dyDescent="0.25">
      <c r="A33" s="167" t="s">
        <v>255</v>
      </c>
      <c r="B33" s="161"/>
      <c r="C33" s="162"/>
      <c r="D33" s="162"/>
      <c r="E33" s="163"/>
      <c r="F33" s="163"/>
      <c r="G33" s="163"/>
      <c r="H33" s="164"/>
      <c r="I33" s="166">
        <f>+I32+I24</f>
        <v>50094916.940000005</v>
      </c>
    </row>
    <row r="34" spans="1:9" ht="90" x14ac:dyDescent="0.25">
      <c r="A34" s="227" t="s">
        <v>128</v>
      </c>
      <c r="B34" s="26" t="s">
        <v>10</v>
      </c>
      <c r="C34" s="228" t="s">
        <v>129</v>
      </c>
      <c r="D34" s="228" t="s">
        <v>130</v>
      </c>
      <c r="E34" s="228" t="s">
        <v>131</v>
      </c>
      <c r="F34" s="242">
        <v>7.5</v>
      </c>
      <c r="G34" s="228" t="s">
        <v>11</v>
      </c>
      <c r="H34" s="74">
        <v>20000</v>
      </c>
      <c r="I34" s="229">
        <v>7435322.2700000005</v>
      </c>
    </row>
    <row r="35" spans="1:9" ht="90" x14ac:dyDescent="0.25">
      <c r="A35" s="227" t="s">
        <v>128</v>
      </c>
      <c r="B35" s="26" t="s">
        <v>10</v>
      </c>
      <c r="C35" s="228" t="s">
        <v>132</v>
      </c>
      <c r="D35" s="228" t="s">
        <v>133</v>
      </c>
      <c r="E35" s="228" t="s">
        <v>134</v>
      </c>
      <c r="F35" s="242">
        <v>4</v>
      </c>
      <c r="G35" s="228" t="s">
        <v>11</v>
      </c>
      <c r="H35" s="74">
        <v>1480</v>
      </c>
      <c r="I35" s="229">
        <v>3794597.31</v>
      </c>
    </row>
    <row r="36" spans="1:9" ht="105" x14ac:dyDescent="0.25">
      <c r="A36" s="227" t="s">
        <v>128</v>
      </c>
      <c r="B36" s="26" t="s">
        <v>10</v>
      </c>
      <c r="C36" s="228" t="s">
        <v>129</v>
      </c>
      <c r="D36" s="228" t="s">
        <v>135</v>
      </c>
      <c r="E36" s="228" t="s">
        <v>136</v>
      </c>
      <c r="F36" s="242">
        <v>3</v>
      </c>
      <c r="G36" s="228" t="s">
        <v>11</v>
      </c>
      <c r="H36" s="74">
        <v>6000</v>
      </c>
      <c r="I36" s="229">
        <v>3000000</v>
      </c>
    </row>
    <row r="37" spans="1:9" ht="60" x14ac:dyDescent="0.25">
      <c r="A37" s="227" t="s">
        <v>128</v>
      </c>
      <c r="B37" s="26" t="s">
        <v>10</v>
      </c>
      <c r="C37" s="228" t="s">
        <v>137</v>
      </c>
      <c r="D37" s="228" t="s">
        <v>138</v>
      </c>
      <c r="E37" s="228" t="s">
        <v>139</v>
      </c>
      <c r="F37" s="242">
        <v>2</v>
      </c>
      <c r="G37" s="228" t="s">
        <v>11</v>
      </c>
      <c r="H37" s="74">
        <v>5000</v>
      </c>
      <c r="I37" s="229">
        <v>1800000</v>
      </c>
    </row>
    <row r="38" spans="1:9" ht="75" x14ac:dyDescent="0.25">
      <c r="A38" s="227" t="s">
        <v>128</v>
      </c>
      <c r="B38" s="26" t="s">
        <v>10</v>
      </c>
      <c r="C38" s="228" t="s">
        <v>140</v>
      </c>
      <c r="D38" s="230" t="s">
        <v>141</v>
      </c>
      <c r="E38" s="230" t="s">
        <v>142</v>
      </c>
      <c r="F38" s="242">
        <v>7</v>
      </c>
      <c r="G38" s="228" t="s">
        <v>11</v>
      </c>
      <c r="H38" s="74">
        <v>20000</v>
      </c>
      <c r="I38" s="229">
        <f>6577492.07-68412.1</f>
        <v>6509079.9700000007</v>
      </c>
    </row>
    <row r="39" spans="1:9" x14ac:dyDescent="0.25">
      <c r="A39" s="142" t="s">
        <v>280</v>
      </c>
      <c r="B39" s="142"/>
      <c r="C39" s="142"/>
      <c r="D39" s="142"/>
      <c r="E39" s="142"/>
      <c r="F39" s="85"/>
      <c r="G39" s="85"/>
      <c r="H39" s="87"/>
      <c r="I39" s="86">
        <f>SUM(I34:I38)</f>
        <v>22538999.550000001</v>
      </c>
    </row>
    <row r="40" spans="1:9" ht="45" x14ac:dyDescent="0.25">
      <c r="A40" s="25" t="s">
        <v>128</v>
      </c>
      <c r="B40" s="31" t="s">
        <v>54</v>
      </c>
      <c r="C40" s="27" t="s">
        <v>151</v>
      </c>
      <c r="D40" s="27" t="s">
        <v>152</v>
      </c>
      <c r="E40" s="27" t="s">
        <v>150</v>
      </c>
      <c r="F40" s="215"/>
      <c r="G40" s="27" t="s">
        <v>153</v>
      </c>
      <c r="H40" s="73">
        <v>5436</v>
      </c>
      <c r="I40" s="174">
        <v>1552304.8</v>
      </c>
    </row>
    <row r="41" spans="1:9" x14ac:dyDescent="0.25">
      <c r="A41" s="144" t="s">
        <v>280</v>
      </c>
      <c r="B41" s="144"/>
      <c r="C41" s="144"/>
      <c r="D41" s="144"/>
      <c r="E41" s="144"/>
      <c r="F41" s="91"/>
      <c r="G41" s="91"/>
      <c r="H41" s="92"/>
      <c r="I41" s="175">
        <f>SUM(I40:I40)</f>
        <v>1552304.8</v>
      </c>
    </row>
    <row r="42" spans="1:9" x14ac:dyDescent="0.25">
      <c r="A42" s="168" t="s">
        <v>255</v>
      </c>
      <c r="B42" s="216"/>
      <c r="C42" s="216"/>
      <c r="D42" s="216"/>
      <c r="E42" s="217"/>
      <c r="F42" s="171"/>
      <c r="G42" s="171"/>
      <c r="H42" s="172"/>
      <c r="I42" s="173">
        <f>+I41+I39</f>
        <v>24091304.350000001</v>
      </c>
    </row>
    <row r="43" spans="1:9" ht="45" x14ac:dyDescent="0.25">
      <c r="A43" s="231" t="s">
        <v>157</v>
      </c>
      <c r="B43" s="32" t="s">
        <v>10</v>
      </c>
      <c r="C43" s="232" t="s">
        <v>159</v>
      </c>
      <c r="D43" s="232" t="s">
        <v>160</v>
      </c>
      <c r="E43" s="232" t="s">
        <v>158</v>
      </c>
      <c r="F43" s="226"/>
      <c r="G43" s="232" t="s">
        <v>161</v>
      </c>
      <c r="H43" s="74">
        <v>2000</v>
      </c>
      <c r="I43" s="233">
        <v>24571990</v>
      </c>
    </row>
    <row r="44" spans="1:9" ht="30" x14ac:dyDescent="0.25">
      <c r="A44" s="231" t="s">
        <v>157</v>
      </c>
      <c r="B44" s="32" t="s">
        <v>10</v>
      </c>
      <c r="C44" s="232" t="s">
        <v>162</v>
      </c>
      <c r="D44" s="232" t="s">
        <v>163</v>
      </c>
      <c r="E44" s="232" t="s">
        <v>158</v>
      </c>
      <c r="F44" s="226"/>
      <c r="G44" s="232" t="s">
        <v>164</v>
      </c>
      <c r="H44" s="74">
        <v>1800</v>
      </c>
      <c r="I44" s="233">
        <v>13400000</v>
      </c>
    </row>
    <row r="45" spans="1:9" ht="30" x14ac:dyDescent="0.25">
      <c r="A45" s="231" t="s">
        <v>157</v>
      </c>
      <c r="B45" s="32" t="s">
        <v>10</v>
      </c>
      <c r="C45" s="232" t="s">
        <v>165</v>
      </c>
      <c r="D45" s="232" t="s">
        <v>166</v>
      </c>
      <c r="E45" s="232" t="s">
        <v>158</v>
      </c>
      <c r="F45" s="226"/>
      <c r="G45" s="232" t="s">
        <v>167</v>
      </c>
      <c r="H45" s="74">
        <v>4500</v>
      </c>
      <c r="I45" s="234">
        <v>15971990</v>
      </c>
    </row>
    <row r="46" spans="1:9" x14ac:dyDescent="0.25">
      <c r="A46" s="130"/>
      <c r="B46" s="131" t="s">
        <v>279</v>
      </c>
      <c r="C46" s="132"/>
      <c r="D46" s="132"/>
      <c r="E46" s="133"/>
      <c r="F46" s="37"/>
      <c r="G46" s="37"/>
      <c r="H46" s="75"/>
      <c r="I46" s="36">
        <f>SUM(I43:I45)</f>
        <v>53943980</v>
      </c>
    </row>
    <row r="47" spans="1:9" ht="90" x14ac:dyDescent="0.25">
      <c r="A47" s="227" t="s">
        <v>157</v>
      </c>
      <c r="B47" s="31" t="s">
        <v>54</v>
      </c>
      <c r="C47" s="48" t="s">
        <v>211</v>
      </c>
      <c r="D47" s="235" t="s">
        <v>212</v>
      </c>
      <c r="E47" s="228" t="s">
        <v>213</v>
      </c>
      <c r="F47" s="226"/>
      <c r="G47" s="228" t="s">
        <v>214</v>
      </c>
      <c r="H47" s="74">
        <v>11500</v>
      </c>
      <c r="I47" s="233">
        <v>845225.51000000013</v>
      </c>
    </row>
    <row r="48" spans="1:9" ht="45" x14ac:dyDescent="0.25">
      <c r="A48" s="227" t="s">
        <v>157</v>
      </c>
      <c r="B48" s="31" t="s">
        <v>54</v>
      </c>
      <c r="C48" s="235" t="s">
        <v>215</v>
      </c>
      <c r="D48" s="235" t="s">
        <v>216</v>
      </c>
      <c r="E48" s="228" t="s">
        <v>217</v>
      </c>
      <c r="F48" s="226"/>
      <c r="G48" s="228" t="s">
        <v>218</v>
      </c>
      <c r="H48" s="74">
        <v>606</v>
      </c>
      <c r="I48" s="233">
        <v>823407.74999999988</v>
      </c>
    </row>
    <row r="49" spans="1:9" ht="45" x14ac:dyDescent="0.25">
      <c r="A49" s="227" t="s">
        <v>157</v>
      </c>
      <c r="B49" s="31" t="s">
        <v>54</v>
      </c>
      <c r="C49" s="235" t="s">
        <v>219</v>
      </c>
      <c r="D49" s="235" t="s">
        <v>220</v>
      </c>
      <c r="E49" s="228" t="s">
        <v>217</v>
      </c>
      <c r="F49" s="226"/>
      <c r="G49" s="228" t="s">
        <v>218</v>
      </c>
      <c r="H49" s="74">
        <v>250</v>
      </c>
      <c r="I49" s="233">
        <v>593419.36</v>
      </c>
    </row>
    <row r="50" spans="1:9" ht="45" x14ac:dyDescent="0.25">
      <c r="A50" s="227" t="s">
        <v>157</v>
      </c>
      <c r="B50" s="31" t="s">
        <v>54</v>
      </c>
      <c r="C50" s="235" t="s">
        <v>221</v>
      </c>
      <c r="D50" s="235" t="s">
        <v>222</v>
      </c>
      <c r="E50" s="228" t="s">
        <v>217</v>
      </c>
      <c r="F50" s="226"/>
      <c r="G50" s="228" t="s">
        <v>223</v>
      </c>
      <c r="H50" s="74">
        <v>230</v>
      </c>
      <c r="I50" s="233">
        <v>445971.6</v>
      </c>
    </row>
    <row r="51" spans="1:9" x14ac:dyDescent="0.25">
      <c r="A51" s="137"/>
      <c r="B51" s="108" t="s">
        <v>254</v>
      </c>
      <c r="C51" s="138"/>
      <c r="D51" s="138"/>
      <c r="E51" s="51"/>
      <c r="F51" s="51"/>
      <c r="G51" s="51"/>
      <c r="H51" s="79"/>
      <c r="I51" s="50">
        <f>SUM(I47:I50)</f>
        <v>2708024.22</v>
      </c>
    </row>
    <row r="52" spans="1:9" x14ac:dyDescent="0.25">
      <c r="A52" s="167" t="s">
        <v>255</v>
      </c>
      <c r="B52" s="167"/>
      <c r="C52" s="176"/>
      <c r="D52" s="176"/>
      <c r="E52" s="173"/>
      <c r="F52" s="173"/>
      <c r="G52" s="173"/>
      <c r="H52" s="177"/>
      <c r="I52" s="165">
        <f>+I51+I46</f>
        <v>56652004.219999999</v>
      </c>
    </row>
    <row r="53" spans="1:9" ht="45" x14ac:dyDescent="0.25">
      <c r="A53" s="236" t="s">
        <v>224</v>
      </c>
      <c r="B53" s="99" t="s">
        <v>225</v>
      </c>
      <c r="C53" s="237" t="s">
        <v>228</v>
      </c>
      <c r="D53" s="237" t="s">
        <v>229</v>
      </c>
      <c r="E53" s="237" t="s">
        <v>226</v>
      </c>
      <c r="F53" s="237"/>
      <c r="G53" s="237" t="s">
        <v>227</v>
      </c>
      <c r="H53" s="238">
        <v>1544</v>
      </c>
      <c r="I53" s="239">
        <v>5013198</v>
      </c>
    </row>
    <row r="54" spans="1:9" ht="45" x14ac:dyDescent="0.25">
      <c r="A54" s="236" t="s">
        <v>224</v>
      </c>
      <c r="B54" s="99" t="s">
        <v>225</v>
      </c>
      <c r="C54" s="237" t="s">
        <v>230</v>
      </c>
      <c r="D54" s="237" t="s">
        <v>231</v>
      </c>
      <c r="E54" s="237" t="s">
        <v>226</v>
      </c>
      <c r="F54" s="237"/>
      <c r="G54" s="237" t="s">
        <v>227</v>
      </c>
      <c r="H54" s="238">
        <v>352</v>
      </c>
      <c r="I54" s="239">
        <v>8000000</v>
      </c>
    </row>
    <row r="55" spans="1:9" ht="45" x14ac:dyDescent="0.25">
      <c r="A55" s="236" t="s">
        <v>224</v>
      </c>
      <c r="B55" s="99" t="s">
        <v>225</v>
      </c>
      <c r="C55" s="237" t="s">
        <v>232</v>
      </c>
      <c r="D55" s="237" t="s">
        <v>233</v>
      </c>
      <c r="E55" s="237" t="s">
        <v>226</v>
      </c>
      <c r="F55" s="237"/>
      <c r="G55" s="237" t="s">
        <v>227</v>
      </c>
      <c r="H55" s="238">
        <v>804</v>
      </c>
      <c r="I55" s="239">
        <v>8000000</v>
      </c>
    </row>
    <row r="56" spans="1:9" ht="45" x14ac:dyDescent="0.25">
      <c r="A56" s="236" t="s">
        <v>224</v>
      </c>
      <c r="B56" s="99" t="s">
        <v>225</v>
      </c>
      <c r="C56" s="237" t="s">
        <v>234</v>
      </c>
      <c r="D56" s="237" t="s">
        <v>235</v>
      </c>
      <c r="E56" s="237" t="s">
        <v>226</v>
      </c>
      <c r="F56" s="237"/>
      <c r="G56" s="237" t="s">
        <v>227</v>
      </c>
      <c r="H56" s="238">
        <v>160</v>
      </c>
      <c r="I56" s="239">
        <v>10836778.029999999</v>
      </c>
    </row>
    <row r="57" spans="1:9" ht="30" x14ac:dyDescent="0.25">
      <c r="A57" s="93"/>
      <c r="B57" s="145" t="s">
        <v>253</v>
      </c>
      <c r="C57" s="93"/>
      <c r="D57" s="93"/>
      <c r="E57" s="93"/>
      <c r="F57" s="107"/>
      <c r="G57" s="107"/>
      <c r="H57" s="97"/>
      <c r="I57" s="97">
        <f>SUM(I53:I56)</f>
        <v>31849976.030000001</v>
      </c>
    </row>
    <row r="58" spans="1:9" x14ac:dyDescent="0.25">
      <c r="A58" s="178" t="s">
        <v>255</v>
      </c>
      <c r="B58" s="179"/>
      <c r="C58" s="216"/>
      <c r="D58" s="216"/>
      <c r="E58" s="217"/>
      <c r="F58" s="178"/>
      <c r="G58" s="178"/>
      <c r="H58" s="180"/>
      <c r="I58" s="180">
        <f>+I57</f>
        <v>31849976.030000001</v>
      </c>
    </row>
    <row r="59" spans="1:9" ht="31.5" x14ac:dyDescent="0.25">
      <c r="A59" s="218"/>
      <c r="B59" s="207" t="s">
        <v>257</v>
      </c>
      <c r="C59" s="208"/>
      <c r="D59" s="208"/>
      <c r="E59" s="208"/>
      <c r="F59" s="208"/>
      <c r="G59" s="208"/>
      <c r="H59" s="209"/>
      <c r="I59" s="210">
        <f>I16+I33+I42+I52+I58</f>
        <v>212160111.53999999</v>
      </c>
    </row>
  </sheetData>
  <mergeCells count="1">
    <mergeCell ref="A1:I7"/>
  </mergeCells>
  <pageMargins left="0.70866141732283472" right="0.70866141732283472" top="0.74803149606299213" bottom="0.74803149606299213" header="0.31496062992125984" footer="0.31496062992125984"/>
  <pageSetup paperSize="9" scale="60" fitToHeight="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B3E2-8A9D-41FA-92DD-5637A56EAAC0}">
  <sheetPr>
    <pageSetUpPr fitToPage="1"/>
  </sheetPr>
  <dimension ref="A2:I112"/>
  <sheetViews>
    <sheetView topLeftCell="A22" workbookViewId="0">
      <selection activeCell="L30" sqref="L30"/>
    </sheetView>
  </sheetViews>
  <sheetFormatPr baseColWidth="10" defaultRowHeight="15" x14ac:dyDescent="0.25"/>
  <cols>
    <col min="1" max="1" width="11" customWidth="1"/>
    <col min="2" max="2" width="16.7109375" bestFit="1" customWidth="1"/>
    <col min="4" max="4" width="17.140625" customWidth="1"/>
    <col min="5" max="5" width="16" customWidth="1"/>
    <col min="6" max="6" width="34" customWidth="1"/>
    <col min="7" max="7" width="28" customWidth="1"/>
    <col min="8" max="8" width="23" customWidth="1"/>
  </cols>
  <sheetData>
    <row r="2" spans="1:9" ht="15.75" thickBot="1" x14ac:dyDescent="0.3"/>
    <row r="3" spans="1:9" ht="15.75" thickBot="1" x14ac:dyDescent="0.3">
      <c r="A3" s="188" t="s">
        <v>0</v>
      </c>
      <c r="B3" s="189" t="s">
        <v>1</v>
      </c>
      <c r="C3" s="190" t="s">
        <v>258</v>
      </c>
      <c r="D3" s="189" t="s">
        <v>259</v>
      </c>
      <c r="E3" s="191" t="s">
        <v>2</v>
      </c>
      <c r="F3" s="189" t="s">
        <v>3</v>
      </c>
      <c r="G3" s="189" t="s">
        <v>260</v>
      </c>
      <c r="H3" s="189" t="s">
        <v>278</v>
      </c>
    </row>
    <row r="4" spans="1:9" ht="26.25" thickBot="1" x14ac:dyDescent="0.3">
      <c r="A4" s="192" t="s">
        <v>9</v>
      </c>
      <c r="B4" s="193" t="s">
        <v>261</v>
      </c>
      <c r="C4" s="194">
        <v>2018</v>
      </c>
      <c r="D4" s="193" t="s">
        <v>262</v>
      </c>
      <c r="E4" s="195" t="s">
        <v>12</v>
      </c>
      <c r="F4" s="193" t="s">
        <v>15</v>
      </c>
      <c r="G4" s="193" t="s">
        <v>16</v>
      </c>
      <c r="H4" s="202">
        <v>24400000</v>
      </c>
      <c r="I4">
        <v>1</v>
      </c>
    </row>
    <row r="5" spans="1:9" ht="26.25" thickBot="1" x14ac:dyDescent="0.3">
      <c r="A5" s="192" t="s">
        <v>9</v>
      </c>
      <c r="B5" s="193" t="s">
        <v>261</v>
      </c>
      <c r="C5" s="194">
        <v>2018</v>
      </c>
      <c r="D5" s="193" t="s">
        <v>262</v>
      </c>
      <c r="E5" s="195" t="s">
        <v>13</v>
      </c>
      <c r="F5" s="193" t="s">
        <v>17</v>
      </c>
      <c r="G5" s="193" t="s">
        <v>263</v>
      </c>
      <c r="H5" s="202">
        <v>15000000</v>
      </c>
      <c r="I5">
        <v>1</v>
      </c>
    </row>
    <row r="6" spans="1:9" ht="26.25" thickBot="1" x14ac:dyDescent="0.3">
      <c r="A6" s="196" t="s">
        <v>264</v>
      </c>
      <c r="B6" s="197" t="s">
        <v>10</v>
      </c>
      <c r="C6" s="194">
        <v>2019</v>
      </c>
      <c r="D6" s="198" t="s">
        <v>262</v>
      </c>
      <c r="E6" s="199" t="s">
        <v>265</v>
      </c>
      <c r="F6" s="193" t="s">
        <v>266</v>
      </c>
      <c r="G6" s="193" t="s">
        <v>267</v>
      </c>
      <c r="H6" s="202">
        <v>9800000</v>
      </c>
      <c r="I6">
        <v>1</v>
      </c>
    </row>
    <row r="7" spans="1:9" ht="64.5" thickBot="1" x14ac:dyDescent="0.3">
      <c r="A7" s="244" t="s">
        <v>9</v>
      </c>
      <c r="B7" s="193" t="s">
        <v>102</v>
      </c>
      <c r="C7" s="194">
        <v>2018</v>
      </c>
      <c r="D7" s="193" t="s">
        <v>262</v>
      </c>
      <c r="E7" s="195" t="s">
        <v>40</v>
      </c>
      <c r="F7" s="193" t="s">
        <v>268</v>
      </c>
      <c r="G7" s="193" t="s">
        <v>60</v>
      </c>
      <c r="H7" s="202">
        <v>2283760.0299999998</v>
      </c>
      <c r="I7">
        <v>1</v>
      </c>
    </row>
    <row r="8" spans="1:9" x14ac:dyDescent="0.25">
      <c r="A8" s="269" t="s">
        <v>9</v>
      </c>
      <c r="B8" s="263" t="s">
        <v>102</v>
      </c>
      <c r="C8" s="272">
        <v>2018</v>
      </c>
      <c r="D8" s="263" t="s">
        <v>269</v>
      </c>
      <c r="E8" s="275" t="s">
        <v>12</v>
      </c>
      <c r="F8" s="200" t="s">
        <v>270</v>
      </c>
      <c r="G8" s="263" t="s">
        <v>58</v>
      </c>
      <c r="H8" s="266">
        <v>7000000</v>
      </c>
      <c r="I8">
        <v>1</v>
      </c>
    </row>
    <row r="9" spans="1:9" ht="25.5" x14ac:dyDescent="0.25">
      <c r="A9" s="270"/>
      <c r="B9" s="264"/>
      <c r="C9" s="273"/>
      <c r="D9" s="264"/>
      <c r="E9" s="276"/>
      <c r="F9" s="200" t="s">
        <v>271</v>
      </c>
      <c r="G9" s="264"/>
      <c r="H9" s="267"/>
      <c r="I9">
        <v>1</v>
      </c>
    </row>
    <row r="10" spans="1:9" ht="51" x14ac:dyDescent="0.25">
      <c r="A10" s="270"/>
      <c r="B10" s="264"/>
      <c r="C10" s="273"/>
      <c r="D10" s="264"/>
      <c r="E10" s="276"/>
      <c r="F10" s="200" t="s">
        <v>272</v>
      </c>
      <c r="G10" s="264"/>
      <c r="H10" s="267"/>
      <c r="I10">
        <v>1</v>
      </c>
    </row>
    <row r="11" spans="1:9" ht="26.25" thickBot="1" x14ac:dyDescent="0.3">
      <c r="A11" s="271"/>
      <c r="B11" s="265"/>
      <c r="C11" s="274"/>
      <c r="D11" s="265"/>
      <c r="E11" s="277"/>
      <c r="F11" s="193" t="s">
        <v>273</v>
      </c>
      <c r="G11" s="265"/>
      <c r="H11" s="268"/>
      <c r="I11">
        <v>1</v>
      </c>
    </row>
    <row r="12" spans="1:9" ht="51.75" thickBot="1" x14ac:dyDescent="0.3">
      <c r="A12" s="244" t="s">
        <v>9</v>
      </c>
      <c r="B12" s="193" t="s">
        <v>102</v>
      </c>
      <c r="C12" s="194">
        <v>2018</v>
      </c>
      <c r="D12" s="193" t="s">
        <v>262</v>
      </c>
      <c r="E12" s="195" t="s">
        <v>63</v>
      </c>
      <c r="F12" s="193" t="s">
        <v>64</v>
      </c>
      <c r="G12" s="193" t="s">
        <v>65</v>
      </c>
      <c r="H12" s="203">
        <v>788149.97</v>
      </c>
      <c r="I12">
        <v>1</v>
      </c>
    </row>
    <row r="13" spans="1:9" ht="102.75" thickBot="1" x14ac:dyDescent="0.3">
      <c r="A13" s="245" t="s">
        <v>264</v>
      </c>
      <c r="B13" s="197" t="s">
        <v>102</v>
      </c>
      <c r="C13" s="194">
        <v>2019</v>
      </c>
      <c r="D13" s="193" t="s">
        <v>262</v>
      </c>
      <c r="E13" s="201" t="s">
        <v>274</v>
      </c>
      <c r="F13" s="197" t="s">
        <v>275</v>
      </c>
      <c r="G13" s="205" t="s">
        <v>276</v>
      </c>
      <c r="H13" s="206">
        <v>7821683</v>
      </c>
      <c r="I13">
        <v>1</v>
      </c>
    </row>
    <row r="14" spans="1:9" ht="26.25" thickBot="1" x14ac:dyDescent="0.3">
      <c r="A14" s="245" t="s">
        <v>264</v>
      </c>
      <c r="B14" s="197" t="s">
        <v>102</v>
      </c>
      <c r="C14" s="194">
        <v>2019</v>
      </c>
      <c r="D14" s="193" t="s">
        <v>262</v>
      </c>
      <c r="E14" s="201" t="s">
        <v>63</v>
      </c>
      <c r="F14" s="197" t="s">
        <v>64</v>
      </c>
      <c r="G14" s="205" t="s">
        <v>277</v>
      </c>
      <c r="H14" s="206">
        <v>3798007</v>
      </c>
      <c r="I14">
        <v>1</v>
      </c>
    </row>
    <row r="15" spans="1:9" ht="15.75" thickBot="1" x14ac:dyDescent="0.3">
      <c r="H15" s="204">
        <f>SUM(H4:H14)</f>
        <v>70891600</v>
      </c>
    </row>
    <row r="22" spans="1:9" ht="15.75" thickBot="1" x14ac:dyDescent="0.3"/>
    <row r="23" spans="1:9" ht="15.75" thickBot="1" x14ac:dyDescent="0.3">
      <c r="A23" s="188" t="s">
        <v>0</v>
      </c>
      <c r="B23" s="189" t="s">
        <v>1</v>
      </c>
      <c r="C23" s="190" t="s">
        <v>258</v>
      </c>
      <c r="D23" s="189" t="s">
        <v>259</v>
      </c>
      <c r="E23" s="191" t="s">
        <v>2</v>
      </c>
      <c r="F23" s="189" t="s">
        <v>3</v>
      </c>
      <c r="G23" s="189" t="s">
        <v>260</v>
      </c>
      <c r="H23" s="189" t="s">
        <v>278</v>
      </c>
    </row>
    <row r="24" spans="1:9" ht="26.25" thickBot="1" x14ac:dyDescent="0.3">
      <c r="A24" s="196" t="s">
        <v>69</v>
      </c>
      <c r="B24" s="243" t="s">
        <v>261</v>
      </c>
      <c r="C24" s="243">
        <v>2018</v>
      </c>
      <c r="D24" s="193" t="s">
        <v>269</v>
      </c>
      <c r="E24" s="201" t="s">
        <v>70</v>
      </c>
      <c r="F24" s="197" t="s">
        <v>71</v>
      </c>
      <c r="G24" s="197" t="s">
        <v>281</v>
      </c>
      <c r="H24" s="249">
        <v>8000000</v>
      </c>
      <c r="I24">
        <v>2</v>
      </c>
    </row>
    <row r="25" spans="1:9" ht="39" thickBot="1" x14ac:dyDescent="0.3">
      <c r="A25" s="192" t="s">
        <v>69</v>
      </c>
      <c r="B25" s="194" t="s">
        <v>261</v>
      </c>
      <c r="C25" s="194">
        <v>2018</v>
      </c>
      <c r="D25" s="193" t="s">
        <v>269</v>
      </c>
      <c r="E25" s="195" t="s">
        <v>73</v>
      </c>
      <c r="F25" s="193" t="s">
        <v>74</v>
      </c>
      <c r="G25" s="193" t="s">
        <v>282</v>
      </c>
      <c r="H25" s="249">
        <v>6000000</v>
      </c>
      <c r="I25">
        <v>2</v>
      </c>
    </row>
    <row r="26" spans="1:9" ht="26.25" thickBot="1" x14ac:dyDescent="0.3">
      <c r="A26" s="192" t="s">
        <v>69</v>
      </c>
      <c r="B26" s="194" t="s">
        <v>261</v>
      </c>
      <c r="C26" s="194">
        <v>2018</v>
      </c>
      <c r="D26" s="193" t="s">
        <v>269</v>
      </c>
      <c r="E26" s="195" t="s">
        <v>75</v>
      </c>
      <c r="F26" s="193" t="s">
        <v>76</v>
      </c>
      <c r="G26" s="193" t="s">
        <v>283</v>
      </c>
      <c r="H26" s="249">
        <v>22836548.66</v>
      </c>
      <c r="I26">
        <v>2</v>
      </c>
    </row>
    <row r="27" spans="1:9" ht="42" thickBot="1" x14ac:dyDescent="0.3">
      <c r="A27" s="192" t="s">
        <v>69</v>
      </c>
      <c r="B27" s="194" t="s">
        <v>261</v>
      </c>
      <c r="C27" s="194">
        <v>2018</v>
      </c>
      <c r="D27" s="193" t="s">
        <v>269</v>
      </c>
      <c r="E27" s="195" t="s">
        <v>331</v>
      </c>
      <c r="F27" s="193" t="s">
        <v>78</v>
      </c>
      <c r="G27" s="193" t="s">
        <v>284</v>
      </c>
      <c r="H27" s="249">
        <v>10000000</v>
      </c>
      <c r="I27">
        <v>2</v>
      </c>
    </row>
    <row r="28" spans="1:9" ht="77.25" customHeight="1" thickBot="1" x14ac:dyDescent="0.3">
      <c r="A28" s="247" t="s">
        <v>69</v>
      </c>
      <c r="B28" s="246" t="s">
        <v>261</v>
      </c>
      <c r="C28" s="246">
        <v>2018</v>
      </c>
      <c r="D28" s="247" t="s">
        <v>269</v>
      </c>
      <c r="E28" s="248" t="s">
        <v>79</v>
      </c>
      <c r="F28" s="247" t="s">
        <v>80</v>
      </c>
      <c r="G28" s="193" t="s">
        <v>285</v>
      </c>
      <c r="H28" s="249">
        <v>7231126.7999999998</v>
      </c>
      <c r="I28">
        <v>2</v>
      </c>
    </row>
    <row r="29" spans="1:9" ht="22.5" customHeight="1" x14ac:dyDescent="0.25">
      <c r="A29" s="263" t="s">
        <v>69</v>
      </c>
      <c r="B29" s="272" t="s">
        <v>261</v>
      </c>
      <c r="C29" s="272">
        <v>2018</v>
      </c>
      <c r="D29" s="263" t="s">
        <v>269</v>
      </c>
      <c r="E29" s="275" t="s">
        <v>81</v>
      </c>
      <c r="F29" s="263" t="s">
        <v>82</v>
      </c>
      <c r="G29" s="263" t="s">
        <v>286</v>
      </c>
      <c r="H29" s="278">
        <v>9046644.8100000005</v>
      </c>
      <c r="I29">
        <v>2</v>
      </c>
    </row>
    <row r="30" spans="1:9" ht="15.75" thickBot="1" x14ac:dyDescent="0.3">
      <c r="A30" s="265"/>
      <c r="B30" s="274"/>
      <c r="C30" s="274"/>
      <c r="D30" s="265"/>
      <c r="E30" s="277"/>
      <c r="F30" s="265"/>
      <c r="G30" s="265"/>
      <c r="H30" s="268"/>
      <c r="I30">
        <v>2</v>
      </c>
    </row>
    <row r="31" spans="1:9" ht="26.25" thickBot="1" x14ac:dyDescent="0.3">
      <c r="A31" s="192" t="s">
        <v>69</v>
      </c>
      <c r="B31" s="194" t="s">
        <v>261</v>
      </c>
      <c r="C31" s="194">
        <v>2018</v>
      </c>
      <c r="D31" s="193" t="s">
        <v>269</v>
      </c>
      <c r="E31" s="195" t="s">
        <v>83</v>
      </c>
      <c r="F31" s="193" t="s">
        <v>84</v>
      </c>
      <c r="G31" s="193" t="s">
        <v>287</v>
      </c>
      <c r="H31" s="249">
        <v>3000000</v>
      </c>
      <c r="I31">
        <v>2</v>
      </c>
    </row>
    <row r="32" spans="1:9" ht="51.75" thickBot="1" x14ac:dyDescent="0.3">
      <c r="A32" s="192" t="s">
        <v>69</v>
      </c>
      <c r="B32" s="194" t="s">
        <v>261</v>
      </c>
      <c r="C32" s="194">
        <v>2019</v>
      </c>
      <c r="D32" s="193" t="s">
        <v>262</v>
      </c>
      <c r="E32" s="195" t="s">
        <v>77</v>
      </c>
      <c r="F32" s="193" t="s">
        <v>78</v>
      </c>
      <c r="G32" s="193" t="s">
        <v>288</v>
      </c>
      <c r="H32" s="249">
        <v>10000000</v>
      </c>
      <c r="I32">
        <v>2</v>
      </c>
    </row>
    <row r="33" spans="1:9" ht="64.5" thickBot="1" x14ac:dyDescent="0.3">
      <c r="A33" s="192" t="s">
        <v>69</v>
      </c>
      <c r="B33" s="194" t="s">
        <v>261</v>
      </c>
      <c r="C33" s="194">
        <v>2019</v>
      </c>
      <c r="D33" s="193" t="s">
        <v>262</v>
      </c>
      <c r="E33" s="195" t="s">
        <v>79</v>
      </c>
      <c r="F33" s="193" t="s">
        <v>80</v>
      </c>
      <c r="G33" s="193" t="s">
        <v>289</v>
      </c>
      <c r="H33" s="249">
        <v>5000000</v>
      </c>
      <c r="I33">
        <v>2</v>
      </c>
    </row>
    <row r="34" spans="1:9" ht="51.75" thickBot="1" x14ac:dyDescent="0.3">
      <c r="A34" s="192" t="s">
        <v>69</v>
      </c>
      <c r="B34" s="194" t="s">
        <v>261</v>
      </c>
      <c r="C34" s="194">
        <v>2019</v>
      </c>
      <c r="D34" s="193" t="s">
        <v>262</v>
      </c>
      <c r="E34" s="195" t="s">
        <v>290</v>
      </c>
      <c r="F34" s="193" t="s">
        <v>291</v>
      </c>
      <c r="G34" s="193" t="s">
        <v>292</v>
      </c>
      <c r="H34" s="249">
        <v>14000000</v>
      </c>
      <c r="I34">
        <v>2</v>
      </c>
    </row>
    <row r="35" spans="1:9" ht="39" thickBot="1" x14ac:dyDescent="0.3">
      <c r="A35" s="192" t="s">
        <v>293</v>
      </c>
      <c r="B35" s="194" t="s">
        <v>261</v>
      </c>
      <c r="C35" s="194">
        <v>2019</v>
      </c>
      <c r="D35" s="193" t="s">
        <v>262</v>
      </c>
      <c r="E35" s="195" t="s">
        <v>294</v>
      </c>
      <c r="F35" s="193" t="s">
        <v>295</v>
      </c>
      <c r="G35" s="193" t="s">
        <v>296</v>
      </c>
      <c r="H35" s="249">
        <v>1493033.89</v>
      </c>
      <c r="I35">
        <v>2</v>
      </c>
    </row>
    <row r="36" spans="1:9" ht="26.25" thickBot="1" x14ac:dyDescent="0.3">
      <c r="A36" s="192" t="s">
        <v>69</v>
      </c>
      <c r="B36" s="194" t="s">
        <v>261</v>
      </c>
      <c r="C36" s="194">
        <v>2019</v>
      </c>
      <c r="D36" s="193" t="s">
        <v>262</v>
      </c>
      <c r="E36" s="195" t="s">
        <v>117</v>
      </c>
      <c r="F36" s="193" t="s">
        <v>297</v>
      </c>
      <c r="G36" s="193" t="s">
        <v>298</v>
      </c>
      <c r="H36" s="249">
        <v>1000000</v>
      </c>
      <c r="I36">
        <v>2</v>
      </c>
    </row>
    <row r="37" spans="1:9" ht="77.25" thickBot="1" x14ac:dyDescent="0.3">
      <c r="A37" s="192" t="s">
        <v>69</v>
      </c>
      <c r="B37" s="194" t="s">
        <v>261</v>
      </c>
      <c r="C37" s="194">
        <v>2019</v>
      </c>
      <c r="D37" s="193" t="s">
        <v>262</v>
      </c>
      <c r="E37" s="195" t="s">
        <v>299</v>
      </c>
      <c r="F37" s="193" t="s">
        <v>300</v>
      </c>
      <c r="G37" s="193" t="s">
        <v>301</v>
      </c>
      <c r="H37" s="249">
        <v>1800000</v>
      </c>
      <c r="I37">
        <v>2</v>
      </c>
    </row>
    <row r="38" spans="1:9" ht="39" thickBot="1" x14ac:dyDescent="0.3">
      <c r="A38" s="192" t="s">
        <v>69</v>
      </c>
      <c r="B38" s="194" t="s">
        <v>261</v>
      </c>
      <c r="C38" s="194">
        <v>2019</v>
      </c>
      <c r="D38" s="193" t="s">
        <v>262</v>
      </c>
      <c r="E38" s="195" t="s">
        <v>302</v>
      </c>
      <c r="F38" s="193" t="s">
        <v>303</v>
      </c>
      <c r="G38" s="193" t="s">
        <v>304</v>
      </c>
      <c r="H38" s="249">
        <v>5000000</v>
      </c>
      <c r="I38">
        <v>2</v>
      </c>
    </row>
    <row r="39" spans="1:9" ht="64.5" thickBot="1" x14ac:dyDescent="0.3">
      <c r="A39" s="192" t="s">
        <v>69</v>
      </c>
      <c r="B39" s="194" t="s">
        <v>261</v>
      </c>
      <c r="C39" s="194">
        <v>2019</v>
      </c>
      <c r="D39" s="193" t="s">
        <v>262</v>
      </c>
      <c r="E39" s="195" t="s">
        <v>305</v>
      </c>
      <c r="F39" s="193" t="s">
        <v>306</v>
      </c>
      <c r="G39" s="193" t="s">
        <v>307</v>
      </c>
      <c r="H39" s="249">
        <v>5000000</v>
      </c>
      <c r="I39">
        <v>2</v>
      </c>
    </row>
    <row r="40" spans="1:9" ht="51.75" thickBot="1" x14ac:dyDescent="0.3">
      <c r="A40" s="192" t="s">
        <v>69</v>
      </c>
      <c r="B40" s="194" t="s">
        <v>261</v>
      </c>
      <c r="C40" s="194">
        <v>2019</v>
      </c>
      <c r="D40" s="193" t="s">
        <v>262</v>
      </c>
      <c r="E40" s="195" t="s">
        <v>308</v>
      </c>
      <c r="F40" s="193" t="s">
        <v>309</v>
      </c>
      <c r="G40" s="193" t="s">
        <v>310</v>
      </c>
      <c r="H40" s="249">
        <v>5000000</v>
      </c>
      <c r="I40">
        <v>2</v>
      </c>
    </row>
    <row r="41" spans="1:9" ht="51.75" thickBot="1" x14ac:dyDescent="0.3">
      <c r="A41" s="192" t="s">
        <v>69</v>
      </c>
      <c r="B41" s="194" t="s">
        <v>261</v>
      </c>
      <c r="C41" s="194">
        <v>2019</v>
      </c>
      <c r="D41" s="193" t="s">
        <v>262</v>
      </c>
      <c r="E41" s="195" t="s">
        <v>73</v>
      </c>
      <c r="F41" s="193" t="s">
        <v>311</v>
      </c>
      <c r="G41" s="193" t="s">
        <v>312</v>
      </c>
      <c r="H41" s="249">
        <v>14000000</v>
      </c>
      <c r="I41">
        <v>2</v>
      </c>
    </row>
    <row r="42" spans="1:9" ht="26.25" thickBot="1" x14ac:dyDescent="0.3">
      <c r="A42" s="244" t="s">
        <v>69</v>
      </c>
      <c r="B42" s="194" t="s">
        <v>102</v>
      </c>
      <c r="C42" s="194">
        <v>2018</v>
      </c>
      <c r="D42" s="193" t="s">
        <v>269</v>
      </c>
      <c r="E42" s="195" t="s">
        <v>103</v>
      </c>
      <c r="F42" s="193" t="s">
        <v>104</v>
      </c>
      <c r="G42" s="193" t="s">
        <v>313</v>
      </c>
      <c r="H42" s="249">
        <v>1233596.67</v>
      </c>
      <c r="I42">
        <v>2</v>
      </c>
    </row>
    <row r="43" spans="1:9" ht="26.25" thickBot="1" x14ac:dyDescent="0.3">
      <c r="A43" s="244" t="s">
        <v>69</v>
      </c>
      <c r="B43" s="194" t="s">
        <v>102</v>
      </c>
      <c r="C43" s="194">
        <v>2018</v>
      </c>
      <c r="D43" s="193" t="s">
        <v>269</v>
      </c>
      <c r="E43" s="195" t="s">
        <v>103</v>
      </c>
      <c r="F43" s="193" t="s">
        <v>109</v>
      </c>
      <c r="G43" s="193" t="s">
        <v>313</v>
      </c>
      <c r="H43" s="249">
        <v>500000</v>
      </c>
      <c r="I43">
        <v>2</v>
      </c>
    </row>
    <row r="44" spans="1:9" ht="39" thickBot="1" x14ac:dyDescent="0.3">
      <c r="A44" s="244" t="s">
        <v>69</v>
      </c>
      <c r="B44" s="194" t="s">
        <v>102</v>
      </c>
      <c r="C44" s="194">
        <v>2018</v>
      </c>
      <c r="D44" s="193" t="s">
        <v>269</v>
      </c>
      <c r="E44" s="195" t="s">
        <v>79</v>
      </c>
      <c r="F44" s="193" t="s">
        <v>314</v>
      </c>
      <c r="G44" s="193" t="s">
        <v>315</v>
      </c>
      <c r="H44" s="249">
        <v>800000</v>
      </c>
      <c r="I44">
        <v>2</v>
      </c>
    </row>
    <row r="45" spans="1:9" ht="26.25" thickBot="1" x14ac:dyDescent="0.3">
      <c r="A45" s="244" t="s">
        <v>69</v>
      </c>
      <c r="B45" s="194" t="s">
        <v>102</v>
      </c>
      <c r="C45" s="194">
        <v>2018</v>
      </c>
      <c r="D45" s="193" t="s">
        <v>269</v>
      </c>
      <c r="E45" s="195" t="s">
        <v>106</v>
      </c>
      <c r="F45" s="193" t="s">
        <v>107</v>
      </c>
      <c r="G45" s="193" t="s">
        <v>108</v>
      </c>
      <c r="H45" s="249">
        <v>1200000</v>
      </c>
      <c r="I45">
        <v>2</v>
      </c>
    </row>
    <row r="46" spans="1:9" ht="26.25" thickBot="1" x14ac:dyDescent="0.3">
      <c r="A46" s="244" t="s">
        <v>69</v>
      </c>
      <c r="B46" s="194" t="s">
        <v>102</v>
      </c>
      <c r="C46" s="194">
        <v>2018</v>
      </c>
      <c r="D46" s="193" t="s">
        <v>269</v>
      </c>
      <c r="E46" s="195" t="s">
        <v>113</v>
      </c>
      <c r="F46" s="193" t="s">
        <v>114</v>
      </c>
      <c r="G46" s="193" t="s">
        <v>316</v>
      </c>
      <c r="H46" s="249">
        <v>300000</v>
      </c>
      <c r="I46">
        <v>2</v>
      </c>
    </row>
    <row r="47" spans="1:9" ht="26.25" thickBot="1" x14ac:dyDescent="0.3">
      <c r="A47" s="244" t="s">
        <v>69</v>
      </c>
      <c r="B47" s="194" t="s">
        <v>102</v>
      </c>
      <c r="C47" s="194">
        <v>2018</v>
      </c>
      <c r="D47" s="193" t="s">
        <v>269</v>
      </c>
      <c r="E47" s="195" t="s">
        <v>117</v>
      </c>
      <c r="F47" s="193" t="s">
        <v>332</v>
      </c>
      <c r="G47" s="193" t="s">
        <v>332</v>
      </c>
      <c r="H47" s="249">
        <v>500000</v>
      </c>
      <c r="I47">
        <v>2</v>
      </c>
    </row>
    <row r="48" spans="1:9" ht="26.25" thickBot="1" x14ac:dyDescent="0.3">
      <c r="A48" s="245" t="s">
        <v>69</v>
      </c>
      <c r="B48" s="243" t="s">
        <v>102</v>
      </c>
      <c r="C48" s="243">
        <v>2019</v>
      </c>
      <c r="D48" s="193" t="s">
        <v>262</v>
      </c>
      <c r="E48" s="201" t="s">
        <v>317</v>
      </c>
      <c r="F48" s="197" t="s">
        <v>318</v>
      </c>
      <c r="G48" s="197" t="s">
        <v>319</v>
      </c>
      <c r="H48" s="249">
        <v>800000</v>
      </c>
      <c r="I48">
        <v>2</v>
      </c>
    </row>
    <row r="49" spans="1:9" ht="26.25" thickBot="1" x14ac:dyDescent="0.3">
      <c r="A49" s="245" t="s">
        <v>69</v>
      </c>
      <c r="B49" s="243" t="s">
        <v>102</v>
      </c>
      <c r="C49" s="243">
        <v>2019</v>
      </c>
      <c r="D49" s="193" t="s">
        <v>262</v>
      </c>
      <c r="E49" s="201" t="s">
        <v>91</v>
      </c>
      <c r="F49" s="197" t="s">
        <v>320</v>
      </c>
      <c r="G49" s="197" t="s">
        <v>321</v>
      </c>
      <c r="H49" s="249">
        <v>1400000</v>
      </c>
      <c r="I49">
        <v>2</v>
      </c>
    </row>
    <row r="50" spans="1:9" ht="26.25" thickBot="1" x14ac:dyDescent="0.3">
      <c r="A50" s="245" t="s">
        <v>69</v>
      </c>
      <c r="B50" s="243" t="s">
        <v>102</v>
      </c>
      <c r="C50" s="243">
        <v>2019</v>
      </c>
      <c r="D50" s="193" t="s">
        <v>262</v>
      </c>
      <c r="E50" s="201" t="s">
        <v>75</v>
      </c>
      <c r="F50" s="197" t="s">
        <v>322</v>
      </c>
      <c r="G50" s="197" t="s">
        <v>323</v>
      </c>
      <c r="H50" s="249">
        <v>428108.5</v>
      </c>
      <c r="I50">
        <v>2</v>
      </c>
    </row>
    <row r="51" spans="1:9" ht="26.25" thickBot="1" x14ac:dyDescent="0.3">
      <c r="A51" s="245" t="s">
        <v>69</v>
      </c>
      <c r="B51" s="243" t="s">
        <v>102</v>
      </c>
      <c r="C51" s="243">
        <v>2019</v>
      </c>
      <c r="D51" s="193" t="s">
        <v>262</v>
      </c>
      <c r="E51" s="201" t="s">
        <v>113</v>
      </c>
      <c r="F51" s="197" t="s">
        <v>324</v>
      </c>
      <c r="G51" s="197" t="s">
        <v>325</v>
      </c>
      <c r="H51" s="249">
        <v>600000</v>
      </c>
      <c r="I51">
        <v>2</v>
      </c>
    </row>
    <row r="52" spans="1:9" ht="51.75" thickBot="1" x14ac:dyDescent="0.3">
      <c r="A52" s="245" t="s">
        <v>69</v>
      </c>
      <c r="B52" s="243" t="s">
        <v>102</v>
      </c>
      <c r="C52" s="243">
        <v>2019</v>
      </c>
      <c r="D52" s="193" t="s">
        <v>262</v>
      </c>
      <c r="E52" s="201" t="s">
        <v>326</v>
      </c>
      <c r="F52" s="197" t="s">
        <v>327</v>
      </c>
      <c r="G52" s="197" t="s">
        <v>328</v>
      </c>
      <c r="H52" s="249">
        <v>700000</v>
      </c>
      <c r="I52">
        <v>2</v>
      </c>
    </row>
    <row r="53" spans="1:9" ht="26.25" thickBot="1" x14ac:dyDescent="0.3">
      <c r="A53" s="245" t="s">
        <v>69</v>
      </c>
      <c r="B53" s="243" t="s">
        <v>102</v>
      </c>
      <c r="C53" s="243">
        <v>2019</v>
      </c>
      <c r="D53" s="193" t="s">
        <v>262</v>
      </c>
      <c r="E53" s="201" t="s">
        <v>81</v>
      </c>
      <c r="F53" s="197" t="s">
        <v>329</v>
      </c>
      <c r="G53" s="197" t="s">
        <v>330</v>
      </c>
      <c r="H53" s="250">
        <v>820403.26</v>
      </c>
      <c r="I53">
        <v>2</v>
      </c>
    </row>
    <row r="54" spans="1:9" ht="15.75" thickBot="1" x14ac:dyDescent="0.3">
      <c r="H54" s="251">
        <f>SUM(H24:H53)</f>
        <v>137689462.58999997</v>
      </c>
    </row>
    <row r="57" spans="1:9" ht="15.75" thickBot="1" x14ac:dyDescent="0.3"/>
    <row r="58" spans="1:9" ht="15.75" thickBot="1" x14ac:dyDescent="0.3">
      <c r="A58" s="252" t="s">
        <v>0</v>
      </c>
      <c r="B58" s="253" t="s">
        <v>1</v>
      </c>
      <c r="C58" s="189" t="s">
        <v>258</v>
      </c>
      <c r="D58" s="189" t="s">
        <v>259</v>
      </c>
      <c r="E58" s="253" t="s">
        <v>2</v>
      </c>
      <c r="F58" s="253" t="s">
        <v>3</v>
      </c>
      <c r="G58" s="253" t="s">
        <v>260</v>
      </c>
      <c r="H58" s="189" t="s">
        <v>278</v>
      </c>
    </row>
    <row r="59" spans="1:9" ht="51.75" thickBot="1" x14ac:dyDescent="0.3">
      <c r="A59" s="196" t="s">
        <v>128</v>
      </c>
      <c r="B59" s="197" t="s">
        <v>333</v>
      </c>
      <c r="C59" s="243">
        <v>2018</v>
      </c>
      <c r="D59" s="193" t="s">
        <v>262</v>
      </c>
      <c r="E59" s="197" t="s">
        <v>129</v>
      </c>
      <c r="F59" s="197" t="s">
        <v>334</v>
      </c>
      <c r="G59" s="197" t="s">
        <v>335</v>
      </c>
      <c r="H59" s="202">
        <v>7435322.2699999996</v>
      </c>
      <c r="I59">
        <v>3</v>
      </c>
    </row>
    <row r="60" spans="1:9" ht="51.75" thickBot="1" x14ac:dyDescent="0.3">
      <c r="A60" s="196" t="s">
        <v>128</v>
      </c>
      <c r="B60" s="197" t="s">
        <v>333</v>
      </c>
      <c r="C60" s="243">
        <v>2018</v>
      </c>
      <c r="D60" s="193" t="s">
        <v>262</v>
      </c>
      <c r="E60" s="197" t="s">
        <v>132</v>
      </c>
      <c r="F60" s="197" t="s">
        <v>133</v>
      </c>
      <c r="G60" s="197" t="s">
        <v>336</v>
      </c>
      <c r="H60" s="202">
        <v>3794597.31</v>
      </c>
      <c r="I60">
        <v>3</v>
      </c>
    </row>
    <row r="61" spans="1:9" ht="51.75" thickBot="1" x14ac:dyDescent="0.3">
      <c r="A61" s="196" t="s">
        <v>128</v>
      </c>
      <c r="B61" s="197" t="s">
        <v>333</v>
      </c>
      <c r="C61" s="243">
        <v>2018</v>
      </c>
      <c r="D61" s="193" t="s">
        <v>262</v>
      </c>
      <c r="E61" s="197" t="s">
        <v>129</v>
      </c>
      <c r="F61" s="197" t="s">
        <v>135</v>
      </c>
      <c r="G61" s="197" t="s">
        <v>337</v>
      </c>
      <c r="H61" s="202">
        <v>3000000</v>
      </c>
      <c r="I61">
        <v>3</v>
      </c>
    </row>
    <row r="62" spans="1:9" ht="39" thickBot="1" x14ac:dyDescent="0.3">
      <c r="A62" s="196" t="s">
        <v>128</v>
      </c>
      <c r="B62" s="197" t="s">
        <v>333</v>
      </c>
      <c r="C62" s="243">
        <v>2018</v>
      </c>
      <c r="D62" s="193" t="s">
        <v>262</v>
      </c>
      <c r="E62" s="197" t="s">
        <v>137</v>
      </c>
      <c r="F62" s="197" t="s">
        <v>138</v>
      </c>
      <c r="G62" s="197" t="s">
        <v>338</v>
      </c>
      <c r="H62" s="202">
        <v>1800000</v>
      </c>
      <c r="I62">
        <v>3</v>
      </c>
    </row>
    <row r="63" spans="1:9" ht="39" thickBot="1" x14ac:dyDescent="0.3">
      <c r="A63" s="196" t="s">
        <v>128</v>
      </c>
      <c r="B63" s="197" t="s">
        <v>333</v>
      </c>
      <c r="C63" s="243">
        <v>2018</v>
      </c>
      <c r="D63" s="193" t="s">
        <v>262</v>
      </c>
      <c r="E63" s="197" t="s">
        <v>140</v>
      </c>
      <c r="F63" s="197" t="s">
        <v>141</v>
      </c>
      <c r="G63" s="197" t="s">
        <v>339</v>
      </c>
      <c r="H63" s="202">
        <v>6509079.9699999997</v>
      </c>
      <c r="I63">
        <v>3</v>
      </c>
    </row>
    <row r="64" spans="1:9" ht="64.5" thickBot="1" x14ac:dyDescent="0.3">
      <c r="A64" s="196" t="s">
        <v>128</v>
      </c>
      <c r="B64" s="197" t="s">
        <v>10</v>
      </c>
      <c r="C64" s="243">
        <v>2019</v>
      </c>
      <c r="D64" s="193" t="s">
        <v>262</v>
      </c>
      <c r="E64" s="197" t="s">
        <v>340</v>
      </c>
      <c r="F64" s="197" t="s">
        <v>341</v>
      </c>
      <c r="G64" s="197" t="s">
        <v>342</v>
      </c>
      <c r="H64" s="202">
        <v>1552304.8</v>
      </c>
      <c r="I64">
        <v>3</v>
      </c>
    </row>
    <row r="65" spans="1:9" ht="39" thickBot="1" x14ac:dyDescent="0.3">
      <c r="A65" s="196" t="s">
        <v>128</v>
      </c>
      <c r="B65" s="197" t="s">
        <v>10</v>
      </c>
      <c r="C65" s="243">
        <v>2019</v>
      </c>
      <c r="D65" s="193" t="s">
        <v>262</v>
      </c>
      <c r="E65" s="197" t="s">
        <v>343</v>
      </c>
      <c r="F65" s="197" t="s">
        <v>344</v>
      </c>
      <c r="G65" s="197" t="s">
        <v>345</v>
      </c>
      <c r="H65" s="202">
        <v>1700000</v>
      </c>
      <c r="I65">
        <v>3</v>
      </c>
    </row>
    <row r="66" spans="1:9" ht="51.75" thickBot="1" x14ac:dyDescent="0.3">
      <c r="A66" s="196" t="s">
        <v>128</v>
      </c>
      <c r="B66" s="197" t="s">
        <v>10</v>
      </c>
      <c r="C66" s="243">
        <v>2019</v>
      </c>
      <c r="D66" s="193" t="s">
        <v>262</v>
      </c>
      <c r="E66" s="197" t="s">
        <v>346</v>
      </c>
      <c r="F66" s="197" t="s">
        <v>347</v>
      </c>
      <c r="G66" s="197" t="s">
        <v>348</v>
      </c>
      <c r="H66" s="202">
        <v>7304842.0700000003</v>
      </c>
      <c r="I66">
        <v>3</v>
      </c>
    </row>
    <row r="67" spans="1:9" ht="39" thickBot="1" x14ac:dyDescent="0.3">
      <c r="A67" s="196" t="s">
        <v>128</v>
      </c>
      <c r="B67" s="197" t="s">
        <v>10</v>
      </c>
      <c r="C67" s="243">
        <v>2019</v>
      </c>
      <c r="D67" s="193" t="s">
        <v>262</v>
      </c>
      <c r="E67" s="197" t="s">
        <v>349</v>
      </c>
      <c r="F67" s="197" t="s">
        <v>350</v>
      </c>
      <c r="G67" s="197" t="s">
        <v>351</v>
      </c>
      <c r="H67" s="202">
        <v>9500000</v>
      </c>
      <c r="I67">
        <v>3</v>
      </c>
    </row>
    <row r="68" spans="1:9" ht="26.25" thickBot="1" x14ac:dyDescent="0.3">
      <c r="A68" s="245" t="s">
        <v>128</v>
      </c>
      <c r="B68" s="197" t="s">
        <v>102</v>
      </c>
      <c r="C68" s="243">
        <v>2018</v>
      </c>
      <c r="D68" s="193" t="s">
        <v>262</v>
      </c>
      <c r="E68" s="197" t="s">
        <v>143</v>
      </c>
      <c r="F68" s="197" t="s">
        <v>352</v>
      </c>
      <c r="G68" s="197" t="s">
        <v>353</v>
      </c>
      <c r="H68" s="202"/>
      <c r="I68">
        <v>3</v>
      </c>
    </row>
    <row r="69" spans="1:9" ht="26.25" thickBot="1" x14ac:dyDescent="0.3">
      <c r="A69" s="245" t="s">
        <v>128</v>
      </c>
      <c r="B69" s="197" t="s">
        <v>102</v>
      </c>
      <c r="C69" s="243">
        <v>2019</v>
      </c>
      <c r="D69" s="193" t="s">
        <v>262</v>
      </c>
      <c r="E69" s="197" t="s">
        <v>354</v>
      </c>
      <c r="F69" s="197" t="s">
        <v>355</v>
      </c>
      <c r="G69" s="197" t="s">
        <v>356</v>
      </c>
      <c r="H69" s="202">
        <v>791004.11</v>
      </c>
      <c r="I69">
        <v>3</v>
      </c>
    </row>
    <row r="70" spans="1:9" ht="26.25" thickBot="1" x14ac:dyDescent="0.3">
      <c r="A70" s="245" t="s">
        <v>128</v>
      </c>
      <c r="B70" s="197" t="s">
        <v>102</v>
      </c>
      <c r="C70" s="243">
        <v>2019</v>
      </c>
      <c r="D70" s="193" t="s">
        <v>262</v>
      </c>
      <c r="E70" s="197" t="s">
        <v>143</v>
      </c>
      <c r="F70" s="197" t="s">
        <v>357</v>
      </c>
      <c r="G70" s="197" t="s">
        <v>356</v>
      </c>
      <c r="H70" s="202">
        <v>1000000</v>
      </c>
      <c r="I70">
        <v>3</v>
      </c>
    </row>
    <row r="71" spans="1:9" ht="15.75" thickBot="1" x14ac:dyDescent="0.3">
      <c r="H71" s="251">
        <f>SUM(H59:H70)</f>
        <v>44387150.530000001</v>
      </c>
    </row>
    <row r="74" spans="1:9" ht="15.75" thickBot="1" x14ac:dyDescent="0.3"/>
    <row r="75" spans="1:9" ht="15.75" thickBot="1" x14ac:dyDescent="0.3">
      <c r="A75" s="188" t="s">
        <v>0</v>
      </c>
      <c r="B75" s="189" t="s">
        <v>1</v>
      </c>
      <c r="C75" s="189" t="s">
        <v>258</v>
      </c>
      <c r="D75" s="189" t="s">
        <v>259</v>
      </c>
      <c r="E75" s="189" t="s">
        <v>2</v>
      </c>
      <c r="F75" s="189" t="s">
        <v>3</v>
      </c>
      <c r="G75" s="189" t="s">
        <v>260</v>
      </c>
      <c r="H75" s="189" t="s">
        <v>278</v>
      </c>
    </row>
    <row r="76" spans="1:9" ht="26.25" thickBot="1" x14ac:dyDescent="0.3">
      <c r="A76" s="196" t="s">
        <v>157</v>
      </c>
      <c r="B76" s="197" t="s">
        <v>333</v>
      </c>
      <c r="C76" s="197">
        <v>2018</v>
      </c>
      <c r="D76" s="193" t="s">
        <v>262</v>
      </c>
      <c r="E76" s="197" t="s">
        <v>159</v>
      </c>
      <c r="F76" s="197" t="s">
        <v>358</v>
      </c>
      <c r="G76" s="197" t="s">
        <v>161</v>
      </c>
      <c r="H76" s="202">
        <v>24571900</v>
      </c>
      <c r="I76">
        <v>4</v>
      </c>
    </row>
    <row r="77" spans="1:9" ht="26.25" thickBot="1" x14ac:dyDescent="0.3">
      <c r="A77" s="196" t="s">
        <v>157</v>
      </c>
      <c r="B77" s="197" t="s">
        <v>333</v>
      </c>
      <c r="C77" s="197">
        <v>2018</v>
      </c>
      <c r="D77" s="193" t="s">
        <v>262</v>
      </c>
      <c r="E77" s="197" t="s">
        <v>359</v>
      </c>
      <c r="F77" s="197" t="s">
        <v>163</v>
      </c>
      <c r="G77" s="197" t="s">
        <v>164</v>
      </c>
      <c r="H77" s="202">
        <v>13400000</v>
      </c>
      <c r="I77">
        <v>4</v>
      </c>
    </row>
    <row r="78" spans="1:9" ht="26.25" thickBot="1" x14ac:dyDescent="0.3">
      <c r="A78" s="196" t="s">
        <v>157</v>
      </c>
      <c r="B78" s="197" t="s">
        <v>333</v>
      </c>
      <c r="C78" s="197">
        <v>2018</v>
      </c>
      <c r="D78" s="193" t="s">
        <v>269</v>
      </c>
      <c r="E78" s="197" t="s">
        <v>360</v>
      </c>
      <c r="F78" s="197" t="s">
        <v>166</v>
      </c>
      <c r="G78" s="197" t="s">
        <v>167</v>
      </c>
      <c r="H78" s="202">
        <v>15971990</v>
      </c>
      <c r="I78">
        <v>4</v>
      </c>
    </row>
    <row r="79" spans="1:9" ht="26.25" thickBot="1" x14ac:dyDescent="0.3">
      <c r="A79" s="196" t="s">
        <v>157</v>
      </c>
      <c r="B79" s="197" t="s">
        <v>333</v>
      </c>
      <c r="C79" s="197">
        <v>2019</v>
      </c>
      <c r="D79" s="193" t="s">
        <v>262</v>
      </c>
      <c r="E79" s="197" t="s">
        <v>165</v>
      </c>
      <c r="F79" s="197" t="s">
        <v>361</v>
      </c>
      <c r="G79" s="197" t="s">
        <v>362</v>
      </c>
      <c r="H79" s="202">
        <v>13406436.99</v>
      </c>
      <c r="I79">
        <v>4</v>
      </c>
    </row>
    <row r="80" spans="1:9" ht="26.25" thickBot="1" x14ac:dyDescent="0.3">
      <c r="A80" s="196" t="s">
        <v>157</v>
      </c>
      <c r="B80" s="197" t="s">
        <v>333</v>
      </c>
      <c r="C80" s="197">
        <v>2019</v>
      </c>
      <c r="D80" s="193" t="s">
        <v>262</v>
      </c>
      <c r="E80" s="197" t="s">
        <v>363</v>
      </c>
      <c r="F80" s="197" t="s">
        <v>364</v>
      </c>
      <c r="G80" s="197" t="s">
        <v>158</v>
      </c>
      <c r="H80" s="202">
        <v>6593436.0099999998</v>
      </c>
      <c r="I80">
        <v>4</v>
      </c>
    </row>
    <row r="81" spans="1:9" x14ac:dyDescent="0.25">
      <c r="A81" s="279" t="s">
        <v>157</v>
      </c>
      <c r="B81" s="279" t="s">
        <v>333</v>
      </c>
      <c r="C81" s="279">
        <v>2019</v>
      </c>
      <c r="D81" s="263" t="s">
        <v>262</v>
      </c>
      <c r="E81" s="279" t="s">
        <v>365</v>
      </c>
      <c r="F81" s="279" t="s">
        <v>366</v>
      </c>
      <c r="G81" s="279" t="s">
        <v>158</v>
      </c>
      <c r="H81" s="281">
        <v>12715970</v>
      </c>
      <c r="I81">
        <v>4</v>
      </c>
    </row>
    <row r="82" spans="1:9" ht="15.75" thickBot="1" x14ac:dyDescent="0.3">
      <c r="A82" s="280"/>
      <c r="B82" s="280"/>
      <c r="C82" s="280"/>
      <c r="D82" s="265"/>
      <c r="E82" s="280"/>
      <c r="F82" s="280"/>
      <c r="G82" s="280"/>
      <c r="H82" s="282"/>
      <c r="I82">
        <v>4</v>
      </c>
    </row>
    <row r="83" spans="1:9" x14ac:dyDescent="0.25">
      <c r="A83" s="279" t="s">
        <v>157</v>
      </c>
      <c r="B83" s="279" t="s">
        <v>333</v>
      </c>
      <c r="C83" s="279">
        <v>2019</v>
      </c>
      <c r="D83" s="263" t="s">
        <v>262</v>
      </c>
      <c r="E83" s="279" t="s">
        <v>165</v>
      </c>
      <c r="F83" s="279" t="s">
        <v>166</v>
      </c>
      <c r="G83" s="279" t="s">
        <v>158</v>
      </c>
      <c r="H83" s="281">
        <v>15028010</v>
      </c>
      <c r="I83">
        <v>4</v>
      </c>
    </row>
    <row r="84" spans="1:9" ht="15.75" thickBot="1" x14ac:dyDescent="0.3">
      <c r="A84" s="280"/>
      <c r="B84" s="280"/>
      <c r="C84" s="280"/>
      <c r="D84" s="265"/>
      <c r="E84" s="280"/>
      <c r="F84" s="280"/>
      <c r="G84" s="280"/>
      <c r="H84" s="282"/>
      <c r="I84">
        <v>4</v>
      </c>
    </row>
    <row r="85" spans="1:9" ht="141" thickBot="1" x14ac:dyDescent="0.3">
      <c r="A85" s="245" t="s">
        <v>157</v>
      </c>
      <c r="B85" s="197" t="s">
        <v>102</v>
      </c>
      <c r="C85" s="197">
        <v>2018</v>
      </c>
      <c r="D85" s="193" t="s">
        <v>262</v>
      </c>
      <c r="E85" s="197" t="s">
        <v>211</v>
      </c>
      <c r="F85" s="197" t="s">
        <v>367</v>
      </c>
      <c r="G85" s="197" t="s">
        <v>214</v>
      </c>
      <c r="H85" s="202">
        <v>845225.51</v>
      </c>
      <c r="I85">
        <v>4</v>
      </c>
    </row>
    <row r="86" spans="1:9" ht="39" thickBot="1" x14ac:dyDescent="0.3">
      <c r="A86" s="245" t="s">
        <v>157</v>
      </c>
      <c r="B86" s="197" t="s">
        <v>102</v>
      </c>
      <c r="C86" s="197">
        <v>2018</v>
      </c>
      <c r="D86" s="193" t="s">
        <v>262</v>
      </c>
      <c r="E86" s="197" t="s">
        <v>215</v>
      </c>
      <c r="F86" s="197" t="s">
        <v>216</v>
      </c>
      <c r="G86" s="197" t="s">
        <v>368</v>
      </c>
      <c r="H86" s="202">
        <v>823407.75</v>
      </c>
      <c r="I86">
        <v>4</v>
      </c>
    </row>
    <row r="87" spans="1:9" ht="39" thickBot="1" x14ac:dyDescent="0.3">
      <c r="A87" s="245" t="s">
        <v>157</v>
      </c>
      <c r="B87" s="197" t="s">
        <v>102</v>
      </c>
      <c r="C87" s="197">
        <v>2018</v>
      </c>
      <c r="D87" s="193" t="s">
        <v>262</v>
      </c>
      <c r="E87" s="197" t="s">
        <v>219</v>
      </c>
      <c r="F87" s="197" t="s">
        <v>220</v>
      </c>
      <c r="G87" s="197" t="s">
        <v>369</v>
      </c>
      <c r="H87" s="202">
        <v>593419.36</v>
      </c>
      <c r="I87">
        <v>4</v>
      </c>
    </row>
    <row r="88" spans="1:9" ht="39" thickBot="1" x14ac:dyDescent="0.3">
      <c r="A88" s="245" t="s">
        <v>157</v>
      </c>
      <c r="B88" s="197" t="s">
        <v>102</v>
      </c>
      <c r="C88" s="197">
        <v>2018</v>
      </c>
      <c r="D88" s="193" t="s">
        <v>262</v>
      </c>
      <c r="E88" s="197" t="s">
        <v>221</v>
      </c>
      <c r="F88" s="197" t="s">
        <v>222</v>
      </c>
      <c r="G88" s="197" t="s">
        <v>370</v>
      </c>
      <c r="H88" s="202">
        <v>445971.6</v>
      </c>
      <c r="I88">
        <v>4</v>
      </c>
    </row>
    <row r="89" spans="1:9" ht="26.25" thickBot="1" x14ac:dyDescent="0.3">
      <c r="A89" s="245" t="s">
        <v>157</v>
      </c>
      <c r="B89" s="197" t="s">
        <v>102</v>
      </c>
      <c r="C89" s="197">
        <v>2019</v>
      </c>
      <c r="D89" s="193" t="s">
        <v>262</v>
      </c>
      <c r="E89" s="197" t="s">
        <v>371</v>
      </c>
      <c r="F89" s="197" t="s">
        <v>372</v>
      </c>
      <c r="G89" s="197" t="s">
        <v>217</v>
      </c>
      <c r="H89" s="202">
        <v>655196.61</v>
      </c>
      <c r="I89">
        <v>4</v>
      </c>
    </row>
    <row r="90" spans="1:9" ht="26.25" thickBot="1" x14ac:dyDescent="0.3">
      <c r="A90" s="245" t="s">
        <v>157</v>
      </c>
      <c r="B90" s="197" t="s">
        <v>102</v>
      </c>
      <c r="C90" s="197">
        <v>2019</v>
      </c>
      <c r="D90" s="193" t="s">
        <v>262</v>
      </c>
      <c r="E90" s="197" t="s">
        <v>221</v>
      </c>
      <c r="F90" s="197" t="s">
        <v>373</v>
      </c>
      <c r="G90" s="197" t="s">
        <v>217</v>
      </c>
      <c r="H90" s="202">
        <v>651328.64</v>
      </c>
      <c r="I90">
        <v>4</v>
      </c>
    </row>
    <row r="91" spans="1:9" ht="26.25" thickBot="1" x14ac:dyDescent="0.3">
      <c r="A91" s="245" t="s">
        <v>157</v>
      </c>
      <c r="B91" s="197" t="s">
        <v>102</v>
      </c>
      <c r="C91" s="197">
        <v>2019</v>
      </c>
      <c r="D91" s="193" t="s">
        <v>262</v>
      </c>
      <c r="E91" s="197" t="s">
        <v>221</v>
      </c>
      <c r="F91" s="197" t="s">
        <v>374</v>
      </c>
      <c r="G91" s="197" t="s">
        <v>217</v>
      </c>
      <c r="H91" s="202">
        <v>320000</v>
      </c>
      <c r="I91">
        <v>4</v>
      </c>
    </row>
    <row r="92" spans="1:9" ht="15.75" thickBot="1" x14ac:dyDescent="0.3">
      <c r="H92" s="251">
        <f>SUM(H76:H91)</f>
        <v>106022292.47</v>
      </c>
    </row>
    <row r="95" spans="1:9" ht="15.75" thickBot="1" x14ac:dyDescent="0.3"/>
    <row r="96" spans="1:9" ht="15.75" thickBot="1" x14ac:dyDescent="0.3">
      <c r="A96" s="252" t="s">
        <v>0</v>
      </c>
      <c r="B96" s="253" t="s">
        <v>1</v>
      </c>
      <c r="C96" s="189" t="s">
        <v>258</v>
      </c>
      <c r="D96" s="189" t="s">
        <v>259</v>
      </c>
      <c r="E96" s="253" t="s">
        <v>2</v>
      </c>
      <c r="F96" s="253" t="s">
        <v>3</v>
      </c>
      <c r="G96" s="253" t="s">
        <v>260</v>
      </c>
      <c r="H96" s="189" t="s">
        <v>278</v>
      </c>
    </row>
    <row r="97" spans="1:9" ht="26.25" thickBot="1" x14ac:dyDescent="0.3">
      <c r="A97" s="196" t="s">
        <v>375</v>
      </c>
      <c r="B97" s="197" t="s">
        <v>333</v>
      </c>
      <c r="C97" s="197">
        <v>2019</v>
      </c>
      <c r="D97" s="193" t="s">
        <v>262</v>
      </c>
      <c r="E97" s="197" t="s">
        <v>376</v>
      </c>
      <c r="F97" s="197" t="s">
        <v>377</v>
      </c>
      <c r="G97" s="197" t="s">
        <v>378</v>
      </c>
      <c r="H97" s="202">
        <v>4983960</v>
      </c>
      <c r="I97">
        <v>5</v>
      </c>
    </row>
    <row r="98" spans="1:9" ht="26.25" thickBot="1" x14ac:dyDescent="0.3">
      <c r="A98" s="196" t="s">
        <v>375</v>
      </c>
      <c r="B98" s="197" t="s">
        <v>333</v>
      </c>
      <c r="C98" s="197">
        <v>2019</v>
      </c>
      <c r="D98" s="193" t="s">
        <v>262</v>
      </c>
      <c r="E98" s="197" t="s">
        <v>379</v>
      </c>
      <c r="F98" s="197" t="s">
        <v>380</v>
      </c>
      <c r="G98" s="197" t="s">
        <v>378</v>
      </c>
      <c r="H98" s="202">
        <v>15119066</v>
      </c>
      <c r="I98">
        <v>5</v>
      </c>
    </row>
    <row r="99" spans="1:9" ht="26.25" thickBot="1" x14ac:dyDescent="0.3">
      <c r="A99" s="196" t="s">
        <v>375</v>
      </c>
      <c r="B99" s="197" t="s">
        <v>333</v>
      </c>
      <c r="C99" s="197">
        <v>2019</v>
      </c>
      <c r="D99" s="193" t="s">
        <v>262</v>
      </c>
      <c r="E99" s="197" t="s">
        <v>381</v>
      </c>
      <c r="F99" s="197" t="s">
        <v>382</v>
      </c>
      <c r="G99" s="197" t="s">
        <v>378</v>
      </c>
      <c r="H99" s="202">
        <v>10733289.970000001</v>
      </c>
      <c r="I99">
        <v>5</v>
      </c>
    </row>
    <row r="100" spans="1:9" ht="15.75" thickBot="1" x14ac:dyDescent="0.3">
      <c r="H100" s="251">
        <f>SUM(H97:H99)</f>
        <v>30836315.969999999</v>
      </c>
    </row>
    <row r="111" spans="1:9" x14ac:dyDescent="0.25">
      <c r="H111" s="260">
        <f>+H100+H92+H71+H54+H15</f>
        <v>389826821.55999994</v>
      </c>
    </row>
    <row r="112" spans="1:9" x14ac:dyDescent="0.25">
      <c r="H112" s="64">
        <f>+H111*1.2</f>
        <v>467792185.87199992</v>
      </c>
    </row>
  </sheetData>
  <mergeCells count="31">
    <mergeCell ref="G83:G84"/>
    <mergeCell ref="H83:H84"/>
    <mergeCell ref="H81:H82"/>
    <mergeCell ref="A83:A84"/>
    <mergeCell ref="B83:B84"/>
    <mergeCell ref="C83:C84"/>
    <mergeCell ref="D83:D84"/>
    <mergeCell ref="E83:E84"/>
    <mergeCell ref="F83:F84"/>
    <mergeCell ref="G29:G30"/>
    <mergeCell ref="H29:H30"/>
    <mergeCell ref="A81:A82"/>
    <mergeCell ref="B81:B82"/>
    <mergeCell ref="C81:C82"/>
    <mergeCell ref="D81:D82"/>
    <mergeCell ref="E81:E82"/>
    <mergeCell ref="F81:F82"/>
    <mergeCell ref="G81:G82"/>
    <mergeCell ref="A29:A30"/>
    <mergeCell ref="B29:B30"/>
    <mergeCell ref="C29:C30"/>
    <mergeCell ref="D29:D30"/>
    <mergeCell ref="E29:E30"/>
    <mergeCell ref="F29:F30"/>
    <mergeCell ref="G8:G11"/>
    <mergeCell ref="H8:H11"/>
    <mergeCell ref="A8:A11"/>
    <mergeCell ref="B8:B11"/>
    <mergeCell ref="C8:C11"/>
    <mergeCell ref="D8:D11"/>
    <mergeCell ref="E8:E11"/>
  </mergeCells>
  <pageMargins left="0.70866141732283472" right="0.70866141732283472" top="0.74803149606299213" bottom="0.74803149606299213" header="0.31496062992125984" footer="0.31496062992125984"/>
  <pageSetup paperSize="9" scale="77" fitToHeight="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4E2B-3ED6-4F92-AE91-2CE90801A70F}">
  <sheetPr>
    <pageSetUpPr fitToPage="1"/>
  </sheetPr>
  <dimension ref="A2:I117"/>
  <sheetViews>
    <sheetView tabSelected="1" topLeftCell="A87" workbookViewId="0">
      <selection activeCell="N99" sqref="N99"/>
    </sheetView>
  </sheetViews>
  <sheetFormatPr baseColWidth="10" defaultRowHeight="15" x14ac:dyDescent="0.25"/>
  <cols>
    <col min="1" max="1" width="11" customWidth="1"/>
    <col min="2" max="2" width="18.28515625" bestFit="1" customWidth="1"/>
    <col min="4" max="4" width="17.140625" customWidth="1"/>
    <col min="5" max="5" width="16" customWidth="1"/>
    <col min="6" max="6" width="34" customWidth="1"/>
    <col min="7" max="7" width="28" customWidth="1"/>
    <col min="8" max="8" width="23" customWidth="1"/>
  </cols>
  <sheetData>
    <row r="2" spans="1:9" ht="15.75" thickBot="1" x14ac:dyDescent="0.3"/>
    <row r="3" spans="1:9" ht="15.75" thickBot="1" x14ac:dyDescent="0.3">
      <c r="A3" s="188" t="s">
        <v>0</v>
      </c>
      <c r="B3" s="189" t="s">
        <v>1</v>
      </c>
      <c r="C3" s="190" t="s">
        <v>258</v>
      </c>
      <c r="D3" s="189" t="s">
        <v>259</v>
      </c>
      <c r="E3" s="191" t="s">
        <v>2</v>
      </c>
      <c r="F3" s="189" t="s">
        <v>3</v>
      </c>
      <c r="G3" s="189" t="s">
        <v>260</v>
      </c>
      <c r="H3" s="189" t="s">
        <v>278</v>
      </c>
    </row>
    <row r="4" spans="1:9" ht="26.25" thickBot="1" x14ac:dyDescent="0.3">
      <c r="A4" s="256" t="s">
        <v>9</v>
      </c>
      <c r="B4" s="193" t="s">
        <v>261</v>
      </c>
      <c r="C4" s="194">
        <v>2018</v>
      </c>
      <c r="D4" s="193" t="s">
        <v>262</v>
      </c>
      <c r="E4" s="195" t="s">
        <v>12</v>
      </c>
      <c r="F4" s="193" t="s">
        <v>15</v>
      </c>
      <c r="G4" s="193" t="s">
        <v>16</v>
      </c>
      <c r="H4" s="202">
        <v>24400000</v>
      </c>
      <c r="I4">
        <v>1</v>
      </c>
    </row>
    <row r="5" spans="1:9" ht="26.25" thickBot="1" x14ac:dyDescent="0.3">
      <c r="A5" s="256" t="s">
        <v>9</v>
      </c>
      <c r="B5" s="193" t="s">
        <v>261</v>
      </c>
      <c r="C5" s="194">
        <v>2018</v>
      </c>
      <c r="D5" s="193" t="s">
        <v>262</v>
      </c>
      <c r="E5" s="195" t="s">
        <v>13</v>
      </c>
      <c r="F5" s="193" t="s">
        <v>17</v>
      </c>
      <c r="G5" s="193" t="s">
        <v>263</v>
      </c>
      <c r="H5" s="202">
        <v>15000000</v>
      </c>
      <c r="I5">
        <v>1</v>
      </c>
    </row>
    <row r="6" spans="1:9" ht="26.25" thickBot="1" x14ac:dyDescent="0.3">
      <c r="A6" s="254" t="s">
        <v>264</v>
      </c>
      <c r="B6" s="197" t="s">
        <v>10</v>
      </c>
      <c r="C6" s="194">
        <v>2019</v>
      </c>
      <c r="D6" s="198" t="s">
        <v>262</v>
      </c>
      <c r="E6" s="199" t="s">
        <v>265</v>
      </c>
      <c r="F6" s="193" t="s">
        <v>266</v>
      </c>
      <c r="G6" s="193" t="s">
        <v>267</v>
      </c>
      <c r="H6" s="202">
        <v>0</v>
      </c>
    </row>
    <row r="7" spans="1:9" ht="64.5" thickBot="1" x14ac:dyDescent="0.3">
      <c r="A7" s="259" t="s">
        <v>9</v>
      </c>
      <c r="B7" s="193" t="s">
        <v>102</v>
      </c>
      <c r="C7" s="194">
        <v>2018</v>
      </c>
      <c r="D7" s="193" t="s">
        <v>262</v>
      </c>
      <c r="E7" s="195" t="s">
        <v>40</v>
      </c>
      <c r="F7" s="193" t="s">
        <v>268</v>
      </c>
      <c r="G7" s="193" t="s">
        <v>60</v>
      </c>
      <c r="H7" s="202">
        <v>2283760.0299999998</v>
      </c>
      <c r="I7">
        <v>1</v>
      </c>
    </row>
    <row r="8" spans="1:9" x14ac:dyDescent="0.25">
      <c r="A8" s="269" t="s">
        <v>9</v>
      </c>
      <c r="B8" s="263" t="s">
        <v>102</v>
      </c>
      <c r="C8" s="272">
        <v>2018</v>
      </c>
      <c r="D8" s="263" t="s">
        <v>269</v>
      </c>
      <c r="E8" s="275" t="s">
        <v>12</v>
      </c>
      <c r="F8" s="200" t="s">
        <v>270</v>
      </c>
      <c r="G8" s="263" t="s">
        <v>58</v>
      </c>
      <c r="H8" s="266">
        <v>7000000</v>
      </c>
    </row>
    <row r="9" spans="1:9" ht="25.5" x14ac:dyDescent="0.25">
      <c r="A9" s="270"/>
      <c r="B9" s="264"/>
      <c r="C9" s="273"/>
      <c r="D9" s="264"/>
      <c r="E9" s="276"/>
      <c r="F9" s="200" t="s">
        <v>271</v>
      </c>
      <c r="G9" s="264"/>
      <c r="H9" s="267"/>
    </row>
    <row r="10" spans="1:9" ht="51" x14ac:dyDescent="0.25">
      <c r="A10" s="270"/>
      <c r="B10" s="264"/>
      <c r="C10" s="273"/>
      <c r="D10" s="264"/>
      <c r="E10" s="276"/>
      <c r="F10" s="200" t="s">
        <v>272</v>
      </c>
      <c r="G10" s="264"/>
      <c r="H10" s="267"/>
      <c r="I10">
        <v>1</v>
      </c>
    </row>
    <row r="11" spans="1:9" ht="26.25" thickBot="1" x14ac:dyDescent="0.3">
      <c r="A11" s="271"/>
      <c r="B11" s="265"/>
      <c r="C11" s="274"/>
      <c r="D11" s="265"/>
      <c r="E11" s="277"/>
      <c r="F11" s="193" t="s">
        <v>273</v>
      </c>
      <c r="G11" s="265"/>
      <c r="H11" s="268"/>
    </row>
    <row r="12" spans="1:9" ht="51.75" thickBot="1" x14ac:dyDescent="0.3">
      <c r="A12" s="259" t="s">
        <v>9</v>
      </c>
      <c r="B12" s="193" t="s">
        <v>102</v>
      </c>
      <c r="C12" s="194">
        <v>2018</v>
      </c>
      <c r="D12" s="193" t="s">
        <v>262</v>
      </c>
      <c r="E12" s="195" t="s">
        <v>63</v>
      </c>
      <c r="F12" s="193" t="s">
        <v>64</v>
      </c>
      <c r="G12" s="193" t="s">
        <v>65</v>
      </c>
      <c r="H12" s="203">
        <v>788149.97</v>
      </c>
      <c r="I12">
        <v>1</v>
      </c>
    </row>
    <row r="13" spans="1:9" ht="102.75" thickBot="1" x14ac:dyDescent="0.3">
      <c r="A13" s="245" t="s">
        <v>264</v>
      </c>
      <c r="B13" s="197" t="s">
        <v>102</v>
      </c>
      <c r="C13" s="194">
        <v>2019</v>
      </c>
      <c r="D13" s="193" t="s">
        <v>262</v>
      </c>
      <c r="E13" s="201" t="s">
        <v>274</v>
      </c>
      <c r="F13" s="197" t="s">
        <v>275</v>
      </c>
      <c r="G13" s="205" t="s">
        <v>276</v>
      </c>
      <c r="H13" s="206">
        <v>0</v>
      </c>
    </row>
    <row r="14" spans="1:9" ht="26.25" thickBot="1" x14ac:dyDescent="0.3">
      <c r="A14" s="245" t="s">
        <v>264</v>
      </c>
      <c r="B14" s="197" t="s">
        <v>102</v>
      </c>
      <c r="C14" s="194">
        <v>2019</v>
      </c>
      <c r="D14" s="193" t="s">
        <v>262</v>
      </c>
      <c r="E14" s="201" t="s">
        <v>63</v>
      </c>
      <c r="F14" s="197" t="s">
        <v>64</v>
      </c>
      <c r="G14" s="205" t="s">
        <v>277</v>
      </c>
      <c r="H14" s="206">
        <v>0</v>
      </c>
    </row>
    <row r="15" spans="1:9" ht="15.75" thickBot="1" x14ac:dyDescent="0.3">
      <c r="H15" s="204">
        <f>SUM(H4:H14)</f>
        <v>49471910</v>
      </c>
    </row>
    <row r="22" spans="1:9" ht="15.75" thickBot="1" x14ac:dyDescent="0.3"/>
    <row r="23" spans="1:9" ht="15.75" thickBot="1" x14ac:dyDescent="0.3">
      <c r="A23" s="188" t="s">
        <v>0</v>
      </c>
      <c r="B23" s="189" t="s">
        <v>1</v>
      </c>
      <c r="C23" s="190" t="s">
        <v>258</v>
      </c>
      <c r="D23" s="189" t="s">
        <v>259</v>
      </c>
      <c r="E23" s="191" t="s">
        <v>2</v>
      </c>
      <c r="F23" s="189" t="s">
        <v>3</v>
      </c>
      <c r="G23" s="189" t="s">
        <v>260</v>
      </c>
      <c r="H23" s="189" t="s">
        <v>278</v>
      </c>
    </row>
    <row r="24" spans="1:9" ht="26.25" thickBot="1" x14ac:dyDescent="0.3">
      <c r="A24" s="254" t="s">
        <v>69</v>
      </c>
      <c r="B24" s="243" t="s">
        <v>261</v>
      </c>
      <c r="C24" s="243">
        <v>2018</v>
      </c>
      <c r="D24" s="193" t="s">
        <v>269</v>
      </c>
      <c r="E24" s="201" t="s">
        <v>70</v>
      </c>
      <c r="F24" s="197" t="s">
        <v>71</v>
      </c>
      <c r="G24" s="197" t="s">
        <v>281</v>
      </c>
      <c r="H24" s="249">
        <v>0</v>
      </c>
      <c r="I24">
        <v>1</v>
      </c>
    </row>
    <row r="25" spans="1:9" ht="39" thickBot="1" x14ac:dyDescent="0.3">
      <c r="A25" s="256" t="s">
        <v>69</v>
      </c>
      <c r="B25" s="194" t="s">
        <v>261</v>
      </c>
      <c r="C25" s="194">
        <v>2018</v>
      </c>
      <c r="D25" s="193" t="s">
        <v>269</v>
      </c>
      <c r="E25" s="195" t="s">
        <v>73</v>
      </c>
      <c r="F25" s="193" t="s">
        <v>74</v>
      </c>
      <c r="G25" s="193" t="s">
        <v>282</v>
      </c>
      <c r="H25" s="249">
        <v>0</v>
      </c>
      <c r="I25">
        <v>1</v>
      </c>
    </row>
    <row r="26" spans="1:9" ht="26.25" thickBot="1" x14ac:dyDescent="0.3">
      <c r="A26" s="256" t="s">
        <v>69</v>
      </c>
      <c r="B26" s="194" t="s">
        <v>261</v>
      </c>
      <c r="C26" s="194">
        <v>2018</v>
      </c>
      <c r="D26" s="193" t="s">
        <v>269</v>
      </c>
      <c r="E26" s="195" t="s">
        <v>75</v>
      </c>
      <c r="F26" s="193" t="s">
        <v>76</v>
      </c>
      <c r="G26" s="193" t="s">
        <v>283</v>
      </c>
      <c r="H26" s="249">
        <v>0</v>
      </c>
      <c r="I26">
        <v>1</v>
      </c>
    </row>
    <row r="27" spans="1:9" ht="42" thickBot="1" x14ac:dyDescent="0.3">
      <c r="A27" s="256" t="s">
        <v>69</v>
      </c>
      <c r="B27" s="194" t="s">
        <v>261</v>
      </c>
      <c r="C27" s="194">
        <v>2018</v>
      </c>
      <c r="D27" s="193" t="s">
        <v>269</v>
      </c>
      <c r="E27" s="195" t="s">
        <v>331</v>
      </c>
      <c r="F27" s="193" t="s">
        <v>78</v>
      </c>
      <c r="G27" s="193" t="s">
        <v>284</v>
      </c>
      <c r="H27" s="249">
        <v>0</v>
      </c>
      <c r="I27">
        <v>1</v>
      </c>
    </row>
    <row r="28" spans="1:9" ht="77.25" thickBot="1" x14ac:dyDescent="0.3">
      <c r="A28" s="255" t="s">
        <v>69</v>
      </c>
      <c r="B28" s="257" t="s">
        <v>261</v>
      </c>
      <c r="C28" s="257">
        <v>2018</v>
      </c>
      <c r="D28" s="255" t="s">
        <v>269</v>
      </c>
      <c r="E28" s="258" t="s">
        <v>79</v>
      </c>
      <c r="F28" s="255" t="s">
        <v>80</v>
      </c>
      <c r="G28" s="193" t="s">
        <v>285</v>
      </c>
      <c r="H28" s="249">
        <v>0</v>
      </c>
      <c r="I28">
        <v>1</v>
      </c>
    </row>
    <row r="29" spans="1:9" ht="15" customHeight="1" x14ac:dyDescent="0.25">
      <c r="A29" s="263" t="s">
        <v>69</v>
      </c>
      <c r="B29" s="272" t="s">
        <v>261</v>
      </c>
      <c r="C29" s="272">
        <v>2018</v>
      </c>
      <c r="D29" s="263" t="s">
        <v>269</v>
      </c>
      <c r="E29" s="275" t="s">
        <v>81</v>
      </c>
      <c r="F29" s="263" t="s">
        <v>82</v>
      </c>
      <c r="G29" s="263" t="s">
        <v>286</v>
      </c>
      <c r="H29" s="278">
        <v>0</v>
      </c>
    </row>
    <row r="30" spans="1:9" ht="15.75" thickBot="1" x14ac:dyDescent="0.3">
      <c r="A30" s="265"/>
      <c r="B30" s="274"/>
      <c r="C30" s="274"/>
      <c r="D30" s="265"/>
      <c r="E30" s="277"/>
      <c r="F30" s="265"/>
      <c r="G30" s="265"/>
      <c r="H30" s="268"/>
      <c r="I30">
        <v>1</v>
      </c>
    </row>
    <row r="31" spans="1:9" ht="26.25" thickBot="1" x14ac:dyDescent="0.3">
      <c r="A31" s="256" t="s">
        <v>69</v>
      </c>
      <c r="B31" s="194" t="s">
        <v>261</v>
      </c>
      <c r="C31" s="194">
        <v>2018</v>
      </c>
      <c r="D31" s="193" t="s">
        <v>269</v>
      </c>
      <c r="E31" s="195" t="s">
        <v>83</v>
      </c>
      <c r="F31" s="193" t="s">
        <v>84</v>
      </c>
      <c r="G31" s="193" t="s">
        <v>287</v>
      </c>
      <c r="H31" s="249">
        <v>0</v>
      </c>
      <c r="I31">
        <v>1</v>
      </c>
    </row>
    <row r="32" spans="1:9" ht="51.75" thickBot="1" x14ac:dyDescent="0.3">
      <c r="A32" s="256" t="s">
        <v>69</v>
      </c>
      <c r="B32" s="194" t="s">
        <v>261</v>
      </c>
      <c r="C32" s="194">
        <v>2019</v>
      </c>
      <c r="D32" s="193" t="s">
        <v>262</v>
      </c>
      <c r="E32" s="195" t="s">
        <v>77</v>
      </c>
      <c r="F32" s="193" t="s">
        <v>78</v>
      </c>
      <c r="G32" s="193" t="s">
        <v>288</v>
      </c>
      <c r="H32" s="249">
        <v>0</v>
      </c>
    </row>
    <row r="33" spans="1:9" ht="64.5" thickBot="1" x14ac:dyDescent="0.3">
      <c r="A33" s="256" t="s">
        <v>69</v>
      </c>
      <c r="B33" s="194" t="s">
        <v>261</v>
      </c>
      <c r="C33" s="194">
        <v>2019</v>
      </c>
      <c r="D33" s="193" t="s">
        <v>262</v>
      </c>
      <c r="E33" s="195" t="s">
        <v>79</v>
      </c>
      <c r="F33" s="193" t="s">
        <v>80</v>
      </c>
      <c r="G33" s="193" t="s">
        <v>289</v>
      </c>
      <c r="H33" s="249">
        <v>0</v>
      </c>
    </row>
    <row r="34" spans="1:9" ht="51.75" thickBot="1" x14ac:dyDescent="0.3">
      <c r="A34" s="256" t="s">
        <v>69</v>
      </c>
      <c r="B34" s="194" t="s">
        <v>261</v>
      </c>
      <c r="C34" s="194">
        <v>2019</v>
      </c>
      <c r="D34" s="193" t="s">
        <v>262</v>
      </c>
      <c r="E34" s="195" t="s">
        <v>290</v>
      </c>
      <c r="F34" s="193" t="s">
        <v>291</v>
      </c>
      <c r="G34" s="193" t="s">
        <v>292</v>
      </c>
      <c r="H34" s="249">
        <v>0</v>
      </c>
    </row>
    <row r="35" spans="1:9" ht="39" thickBot="1" x14ac:dyDescent="0.3">
      <c r="A35" s="256" t="s">
        <v>293</v>
      </c>
      <c r="B35" s="194" t="s">
        <v>261</v>
      </c>
      <c r="C35" s="194">
        <v>2019</v>
      </c>
      <c r="D35" s="193" t="s">
        <v>262</v>
      </c>
      <c r="E35" s="195" t="s">
        <v>294</v>
      </c>
      <c r="F35" s="193" t="s">
        <v>295</v>
      </c>
      <c r="G35" s="193" t="s">
        <v>296</v>
      </c>
      <c r="H35" s="249">
        <v>0</v>
      </c>
    </row>
    <row r="36" spans="1:9" ht="26.25" thickBot="1" x14ac:dyDescent="0.3">
      <c r="A36" s="256" t="s">
        <v>69</v>
      </c>
      <c r="B36" s="194" t="s">
        <v>261</v>
      </c>
      <c r="C36" s="194">
        <v>2019</v>
      </c>
      <c r="D36" s="193" t="s">
        <v>262</v>
      </c>
      <c r="E36" s="195" t="s">
        <v>117</v>
      </c>
      <c r="F36" s="193" t="s">
        <v>297</v>
      </c>
      <c r="G36" s="193" t="s">
        <v>298</v>
      </c>
      <c r="H36" s="249">
        <v>0</v>
      </c>
    </row>
    <row r="37" spans="1:9" ht="77.25" thickBot="1" x14ac:dyDescent="0.3">
      <c r="A37" s="256" t="s">
        <v>69</v>
      </c>
      <c r="B37" s="194" t="s">
        <v>261</v>
      </c>
      <c r="C37" s="194">
        <v>2019</v>
      </c>
      <c r="D37" s="193" t="s">
        <v>262</v>
      </c>
      <c r="E37" s="195" t="s">
        <v>299</v>
      </c>
      <c r="F37" s="193" t="s">
        <v>300</v>
      </c>
      <c r="G37" s="193" t="s">
        <v>301</v>
      </c>
      <c r="H37" s="249">
        <v>0</v>
      </c>
    </row>
    <row r="38" spans="1:9" ht="39" thickBot="1" x14ac:dyDescent="0.3">
      <c r="A38" s="256" t="s">
        <v>69</v>
      </c>
      <c r="B38" s="194" t="s">
        <v>261</v>
      </c>
      <c r="C38" s="194">
        <v>2019</v>
      </c>
      <c r="D38" s="193" t="s">
        <v>262</v>
      </c>
      <c r="E38" s="195" t="s">
        <v>302</v>
      </c>
      <c r="F38" s="193" t="s">
        <v>303</v>
      </c>
      <c r="G38" s="193" t="s">
        <v>304</v>
      </c>
      <c r="H38" s="249">
        <v>0</v>
      </c>
    </row>
    <row r="39" spans="1:9" ht="64.5" thickBot="1" x14ac:dyDescent="0.3">
      <c r="A39" s="256" t="s">
        <v>69</v>
      </c>
      <c r="B39" s="194" t="s">
        <v>261</v>
      </c>
      <c r="C39" s="194">
        <v>2019</v>
      </c>
      <c r="D39" s="193" t="s">
        <v>262</v>
      </c>
      <c r="E39" s="195" t="s">
        <v>305</v>
      </c>
      <c r="F39" s="193" t="s">
        <v>306</v>
      </c>
      <c r="G39" s="193" t="s">
        <v>307</v>
      </c>
      <c r="H39" s="249">
        <v>0</v>
      </c>
    </row>
    <row r="40" spans="1:9" ht="51.75" thickBot="1" x14ac:dyDescent="0.3">
      <c r="A40" s="256" t="s">
        <v>69</v>
      </c>
      <c r="B40" s="194" t="s">
        <v>261</v>
      </c>
      <c r="C40" s="194">
        <v>2019</v>
      </c>
      <c r="D40" s="193" t="s">
        <v>262</v>
      </c>
      <c r="E40" s="195" t="s">
        <v>308</v>
      </c>
      <c r="F40" s="193" t="s">
        <v>309</v>
      </c>
      <c r="G40" s="193" t="s">
        <v>310</v>
      </c>
      <c r="H40" s="249">
        <v>0</v>
      </c>
    </row>
    <row r="41" spans="1:9" ht="51.75" thickBot="1" x14ac:dyDescent="0.3">
      <c r="A41" s="256" t="s">
        <v>69</v>
      </c>
      <c r="B41" s="194" t="s">
        <v>261</v>
      </c>
      <c r="C41" s="194">
        <v>2019</v>
      </c>
      <c r="D41" s="193" t="s">
        <v>262</v>
      </c>
      <c r="E41" s="195" t="s">
        <v>73</v>
      </c>
      <c r="F41" s="193" t="s">
        <v>311</v>
      </c>
      <c r="G41" s="193" t="s">
        <v>312</v>
      </c>
      <c r="H41" s="249">
        <v>0</v>
      </c>
    </row>
    <row r="42" spans="1:9" ht="26.25" thickBot="1" x14ac:dyDescent="0.3">
      <c r="A42" s="259" t="s">
        <v>69</v>
      </c>
      <c r="B42" s="194" t="s">
        <v>102</v>
      </c>
      <c r="C42" s="194">
        <v>2018</v>
      </c>
      <c r="D42" s="193" t="s">
        <v>269</v>
      </c>
      <c r="E42" s="195" t="s">
        <v>103</v>
      </c>
      <c r="F42" s="193" t="s">
        <v>104</v>
      </c>
      <c r="G42" s="193" t="s">
        <v>313</v>
      </c>
      <c r="H42" s="249">
        <v>1233596.67</v>
      </c>
      <c r="I42">
        <v>1</v>
      </c>
    </row>
    <row r="43" spans="1:9" ht="26.25" thickBot="1" x14ac:dyDescent="0.3">
      <c r="A43" s="259" t="s">
        <v>69</v>
      </c>
      <c r="B43" s="194" t="s">
        <v>102</v>
      </c>
      <c r="C43" s="194">
        <v>2018</v>
      </c>
      <c r="D43" s="193" t="s">
        <v>269</v>
      </c>
      <c r="E43" s="195" t="s">
        <v>103</v>
      </c>
      <c r="F43" s="193" t="s">
        <v>109</v>
      </c>
      <c r="G43" s="193" t="s">
        <v>313</v>
      </c>
      <c r="H43" s="249">
        <v>500000</v>
      </c>
      <c r="I43">
        <v>1</v>
      </c>
    </row>
    <row r="44" spans="1:9" ht="39" thickBot="1" x14ac:dyDescent="0.3">
      <c r="A44" s="259" t="s">
        <v>69</v>
      </c>
      <c r="B44" s="194" t="s">
        <v>102</v>
      </c>
      <c r="C44" s="194">
        <v>2018</v>
      </c>
      <c r="D44" s="193" t="s">
        <v>269</v>
      </c>
      <c r="E44" s="195" t="s">
        <v>79</v>
      </c>
      <c r="F44" s="193" t="s">
        <v>314</v>
      </c>
      <c r="G44" s="193" t="s">
        <v>315</v>
      </c>
      <c r="H44" s="249">
        <v>800000</v>
      </c>
      <c r="I44">
        <v>1</v>
      </c>
    </row>
    <row r="45" spans="1:9" ht="26.25" thickBot="1" x14ac:dyDescent="0.3">
      <c r="A45" s="259" t="s">
        <v>69</v>
      </c>
      <c r="B45" s="194" t="s">
        <v>102</v>
      </c>
      <c r="C45" s="194">
        <v>2018</v>
      </c>
      <c r="D45" s="193" t="s">
        <v>269</v>
      </c>
      <c r="E45" s="195" t="s">
        <v>106</v>
      </c>
      <c r="F45" s="193" t="s">
        <v>107</v>
      </c>
      <c r="G45" s="193" t="s">
        <v>108</v>
      </c>
      <c r="H45" s="249">
        <v>1200000</v>
      </c>
      <c r="I45">
        <v>1</v>
      </c>
    </row>
    <row r="46" spans="1:9" ht="26.25" thickBot="1" x14ac:dyDescent="0.3">
      <c r="A46" s="259" t="s">
        <v>69</v>
      </c>
      <c r="B46" s="194" t="s">
        <v>102</v>
      </c>
      <c r="C46" s="194">
        <v>2018</v>
      </c>
      <c r="D46" s="193" t="s">
        <v>269</v>
      </c>
      <c r="E46" s="195" t="s">
        <v>113</v>
      </c>
      <c r="F46" s="193" t="s">
        <v>114</v>
      </c>
      <c r="G46" s="193" t="s">
        <v>316</v>
      </c>
      <c r="H46" s="249">
        <v>300000</v>
      </c>
      <c r="I46">
        <v>1</v>
      </c>
    </row>
    <row r="47" spans="1:9" ht="26.25" thickBot="1" x14ac:dyDescent="0.3">
      <c r="A47" s="259" t="s">
        <v>69</v>
      </c>
      <c r="B47" s="194" t="s">
        <v>102</v>
      </c>
      <c r="C47" s="194">
        <v>2018</v>
      </c>
      <c r="D47" s="193" t="s">
        <v>269</v>
      </c>
      <c r="E47" s="195" t="s">
        <v>117</v>
      </c>
      <c r="F47" s="193" t="s">
        <v>332</v>
      </c>
      <c r="G47" s="193" t="s">
        <v>332</v>
      </c>
      <c r="H47" s="249">
        <v>500000</v>
      </c>
      <c r="I47">
        <v>1</v>
      </c>
    </row>
    <row r="48" spans="1:9" ht="26.25" thickBot="1" x14ac:dyDescent="0.3">
      <c r="A48" s="245" t="s">
        <v>69</v>
      </c>
      <c r="B48" s="243" t="s">
        <v>102</v>
      </c>
      <c r="C48" s="243">
        <v>2019</v>
      </c>
      <c r="D48" s="193" t="s">
        <v>262</v>
      </c>
      <c r="E48" s="201" t="s">
        <v>317</v>
      </c>
      <c r="F48" s="197" t="s">
        <v>318</v>
      </c>
      <c r="G48" s="197" t="s">
        <v>319</v>
      </c>
      <c r="H48" s="249">
        <v>0</v>
      </c>
    </row>
    <row r="49" spans="1:9" ht="26.25" thickBot="1" x14ac:dyDescent="0.3">
      <c r="A49" s="245" t="s">
        <v>69</v>
      </c>
      <c r="B49" s="243" t="s">
        <v>102</v>
      </c>
      <c r="C49" s="243">
        <v>2019</v>
      </c>
      <c r="D49" s="193" t="s">
        <v>262</v>
      </c>
      <c r="E49" s="201" t="s">
        <v>91</v>
      </c>
      <c r="F49" s="197" t="s">
        <v>320</v>
      </c>
      <c r="G49" s="197" t="s">
        <v>321</v>
      </c>
      <c r="H49" s="249">
        <v>0</v>
      </c>
    </row>
    <row r="50" spans="1:9" ht="26.25" thickBot="1" x14ac:dyDescent="0.3">
      <c r="A50" s="245" t="s">
        <v>69</v>
      </c>
      <c r="B50" s="243" t="s">
        <v>102</v>
      </c>
      <c r="C50" s="243">
        <v>2019</v>
      </c>
      <c r="D50" s="193" t="s">
        <v>262</v>
      </c>
      <c r="E50" s="201" t="s">
        <v>75</v>
      </c>
      <c r="F50" s="197" t="s">
        <v>322</v>
      </c>
      <c r="G50" s="197" t="s">
        <v>323</v>
      </c>
      <c r="H50" s="249">
        <v>0</v>
      </c>
    </row>
    <row r="51" spans="1:9" ht="26.25" thickBot="1" x14ac:dyDescent="0.3">
      <c r="A51" s="245" t="s">
        <v>69</v>
      </c>
      <c r="B51" s="243" t="s">
        <v>102</v>
      </c>
      <c r="C51" s="243">
        <v>2019</v>
      </c>
      <c r="D51" s="193" t="s">
        <v>262</v>
      </c>
      <c r="E51" s="201" t="s">
        <v>113</v>
      </c>
      <c r="F51" s="197" t="s">
        <v>324</v>
      </c>
      <c r="G51" s="197" t="s">
        <v>325</v>
      </c>
      <c r="H51" s="249">
        <v>0</v>
      </c>
    </row>
    <row r="52" spans="1:9" ht="51.75" thickBot="1" x14ac:dyDescent="0.3">
      <c r="A52" s="245" t="s">
        <v>69</v>
      </c>
      <c r="B52" s="243" t="s">
        <v>102</v>
      </c>
      <c r="C52" s="243">
        <v>2019</v>
      </c>
      <c r="D52" s="193" t="s">
        <v>262</v>
      </c>
      <c r="E52" s="201" t="s">
        <v>326</v>
      </c>
      <c r="F52" s="197" t="s">
        <v>327</v>
      </c>
      <c r="G52" s="197" t="s">
        <v>328</v>
      </c>
      <c r="H52" s="249">
        <v>0</v>
      </c>
    </row>
    <row r="53" spans="1:9" ht="26.25" thickBot="1" x14ac:dyDescent="0.3">
      <c r="A53" s="245" t="s">
        <v>69</v>
      </c>
      <c r="B53" s="243" t="s">
        <v>102</v>
      </c>
      <c r="C53" s="243">
        <v>2019</v>
      </c>
      <c r="D53" s="193" t="s">
        <v>262</v>
      </c>
      <c r="E53" s="201" t="s">
        <v>81</v>
      </c>
      <c r="F53" s="197" t="s">
        <v>329</v>
      </c>
      <c r="G53" s="197" t="s">
        <v>330</v>
      </c>
      <c r="H53" s="250">
        <v>0</v>
      </c>
    </row>
    <row r="54" spans="1:9" ht="15.75" thickBot="1" x14ac:dyDescent="0.3">
      <c r="H54" s="251">
        <f>SUM(H24:H53)</f>
        <v>4533596.67</v>
      </c>
    </row>
    <row r="57" spans="1:9" ht="15.75" thickBot="1" x14ac:dyDescent="0.3"/>
    <row r="58" spans="1:9" ht="15.75" thickBot="1" x14ac:dyDescent="0.3">
      <c r="A58" s="252" t="s">
        <v>0</v>
      </c>
      <c r="B58" s="253" t="s">
        <v>1</v>
      </c>
      <c r="C58" s="189" t="s">
        <v>258</v>
      </c>
      <c r="D58" s="189" t="s">
        <v>259</v>
      </c>
      <c r="E58" s="253" t="s">
        <v>2</v>
      </c>
      <c r="F58" s="253" t="s">
        <v>3</v>
      </c>
      <c r="G58" s="253" t="s">
        <v>260</v>
      </c>
      <c r="H58" s="189" t="s">
        <v>278</v>
      </c>
    </row>
    <row r="59" spans="1:9" ht="51.75" thickBot="1" x14ac:dyDescent="0.3">
      <c r="A59" s="254" t="s">
        <v>128</v>
      </c>
      <c r="B59" s="197" t="s">
        <v>333</v>
      </c>
      <c r="C59" s="243">
        <v>2018</v>
      </c>
      <c r="D59" s="193" t="s">
        <v>262</v>
      </c>
      <c r="E59" s="197" t="s">
        <v>129</v>
      </c>
      <c r="F59" s="197" t="s">
        <v>334</v>
      </c>
      <c r="G59" s="197" t="s">
        <v>335</v>
      </c>
      <c r="H59" s="202">
        <v>7435322.2699999996</v>
      </c>
      <c r="I59">
        <v>1</v>
      </c>
    </row>
    <row r="60" spans="1:9" ht="51.75" thickBot="1" x14ac:dyDescent="0.3">
      <c r="A60" s="254" t="s">
        <v>128</v>
      </c>
      <c r="B60" s="197" t="s">
        <v>333</v>
      </c>
      <c r="C60" s="243">
        <v>2018</v>
      </c>
      <c r="D60" s="193" t="s">
        <v>262</v>
      </c>
      <c r="E60" s="197" t="s">
        <v>132</v>
      </c>
      <c r="F60" s="197" t="s">
        <v>133</v>
      </c>
      <c r="G60" s="197" t="s">
        <v>336</v>
      </c>
      <c r="H60" s="202">
        <v>3794597.31</v>
      </c>
      <c r="I60">
        <v>1</v>
      </c>
    </row>
    <row r="61" spans="1:9" ht="51.75" thickBot="1" x14ac:dyDescent="0.3">
      <c r="A61" s="254" t="s">
        <v>128</v>
      </c>
      <c r="B61" s="197" t="s">
        <v>333</v>
      </c>
      <c r="C61" s="243">
        <v>2018</v>
      </c>
      <c r="D61" s="193" t="s">
        <v>262</v>
      </c>
      <c r="E61" s="197" t="s">
        <v>129</v>
      </c>
      <c r="F61" s="197" t="s">
        <v>135</v>
      </c>
      <c r="G61" s="197" t="s">
        <v>337</v>
      </c>
      <c r="H61" s="202">
        <v>3000000</v>
      </c>
      <c r="I61">
        <v>1</v>
      </c>
    </row>
    <row r="62" spans="1:9" ht="39" thickBot="1" x14ac:dyDescent="0.3">
      <c r="A62" s="254" t="s">
        <v>128</v>
      </c>
      <c r="B62" s="197" t="s">
        <v>333</v>
      </c>
      <c r="C62" s="243">
        <v>2018</v>
      </c>
      <c r="D62" s="193" t="s">
        <v>262</v>
      </c>
      <c r="E62" s="197" t="s">
        <v>137</v>
      </c>
      <c r="F62" s="197" t="s">
        <v>138</v>
      </c>
      <c r="G62" s="197" t="s">
        <v>338</v>
      </c>
      <c r="H62" s="202">
        <v>1800000</v>
      </c>
      <c r="I62">
        <v>1</v>
      </c>
    </row>
    <row r="63" spans="1:9" ht="39" thickBot="1" x14ac:dyDescent="0.3">
      <c r="A63" s="254" t="s">
        <v>128</v>
      </c>
      <c r="B63" s="197" t="s">
        <v>333</v>
      </c>
      <c r="C63" s="243">
        <v>2018</v>
      </c>
      <c r="D63" s="193" t="s">
        <v>262</v>
      </c>
      <c r="E63" s="197" t="s">
        <v>140</v>
      </c>
      <c r="F63" s="197" t="s">
        <v>141</v>
      </c>
      <c r="G63" s="197" t="s">
        <v>339</v>
      </c>
      <c r="H63" s="202">
        <v>6509079.9699999997</v>
      </c>
      <c r="I63">
        <v>1</v>
      </c>
    </row>
    <row r="64" spans="1:9" ht="64.5" thickBot="1" x14ac:dyDescent="0.3">
      <c r="A64" s="254" t="s">
        <v>128</v>
      </c>
      <c r="B64" s="197" t="s">
        <v>10</v>
      </c>
      <c r="C64" s="243">
        <v>2019</v>
      </c>
      <c r="D64" s="193" t="s">
        <v>262</v>
      </c>
      <c r="E64" s="197" t="s">
        <v>340</v>
      </c>
      <c r="F64" s="197" t="s">
        <v>341</v>
      </c>
      <c r="G64" s="197" t="s">
        <v>342</v>
      </c>
      <c r="H64" s="202">
        <v>0</v>
      </c>
    </row>
    <row r="65" spans="1:9" ht="39" thickBot="1" x14ac:dyDescent="0.3">
      <c r="A65" s="254" t="s">
        <v>128</v>
      </c>
      <c r="B65" s="197" t="s">
        <v>10</v>
      </c>
      <c r="C65" s="243">
        <v>2019</v>
      </c>
      <c r="D65" s="193" t="s">
        <v>262</v>
      </c>
      <c r="E65" s="197" t="s">
        <v>343</v>
      </c>
      <c r="F65" s="197" t="s">
        <v>344</v>
      </c>
      <c r="G65" s="197" t="s">
        <v>345</v>
      </c>
      <c r="H65" s="202">
        <v>0</v>
      </c>
    </row>
    <row r="66" spans="1:9" ht="51.75" thickBot="1" x14ac:dyDescent="0.3">
      <c r="A66" s="254" t="s">
        <v>128</v>
      </c>
      <c r="B66" s="197" t="s">
        <v>10</v>
      </c>
      <c r="C66" s="243">
        <v>2019</v>
      </c>
      <c r="D66" s="193" t="s">
        <v>262</v>
      </c>
      <c r="E66" s="197" t="s">
        <v>346</v>
      </c>
      <c r="F66" s="197" t="s">
        <v>347</v>
      </c>
      <c r="G66" s="197" t="s">
        <v>348</v>
      </c>
      <c r="H66" s="202">
        <v>0</v>
      </c>
    </row>
    <row r="67" spans="1:9" ht="39" thickBot="1" x14ac:dyDescent="0.3">
      <c r="A67" s="254" t="s">
        <v>128</v>
      </c>
      <c r="B67" s="197" t="s">
        <v>10</v>
      </c>
      <c r="C67" s="243">
        <v>2019</v>
      </c>
      <c r="D67" s="193" t="s">
        <v>262</v>
      </c>
      <c r="E67" s="197" t="s">
        <v>349</v>
      </c>
      <c r="F67" s="197" t="s">
        <v>350</v>
      </c>
      <c r="G67" s="197" t="s">
        <v>351</v>
      </c>
      <c r="H67" s="202">
        <v>0</v>
      </c>
    </row>
    <row r="68" spans="1:9" ht="26.25" thickBot="1" x14ac:dyDescent="0.3">
      <c r="A68" s="245" t="s">
        <v>128</v>
      </c>
      <c r="B68" s="197" t="s">
        <v>102</v>
      </c>
      <c r="C68" s="243">
        <v>2018</v>
      </c>
      <c r="D68" s="193" t="s">
        <v>262</v>
      </c>
      <c r="E68" s="197" t="s">
        <v>143</v>
      </c>
      <c r="F68" s="197" t="s">
        <v>352</v>
      </c>
      <c r="G68" s="197" t="s">
        <v>353</v>
      </c>
      <c r="H68" s="202">
        <v>1552304.8</v>
      </c>
      <c r="I68">
        <v>1</v>
      </c>
    </row>
    <row r="69" spans="1:9" ht="26.25" thickBot="1" x14ac:dyDescent="0.3">
      <c r="A69" s="245" t="s">
        <v>128</v>
      </c>
      <c r="B69" s="197" t="s">
        <v>102</v>
      </c>
      <c r="C69" s="243">
        <v>2019</v>
      </c>
      <c r="D69" s="193" t="s">
        <v>262</v>
      </c>
      <c r="E69" s="197" t="s">
        <v>354</v>
      </c>
      <c r="F69" s="197" t="s">
        <v>355</v>
      </c>
      <c r="G69" s="197" t="s">
        <v>356</v>
      </c>
      <c r="H69" s="202">
        <v>0</v>
      </c>
    </row>
    <row r="70" spans="1:9" ht="26.25" thickBot="1" x14ac:dyDescent="0.3">
      <c r="A70" s="245" t="s">
        <v>128</v>
      </c>
      <c r="B70" s="197" t="s">
        <v>102</v>
      </c>
      <c r="C70" s="243">
        <v>2019</v>
      </c>
      <c r="D70" s="193" t="s">
        <v>262</v>
      </c>
      <c r="E70" s="197" t="s">
        <v>143</v>
      </c>
      <c r="F70" s="197" t="s">
        <v>357</v>
      </c>
      <c r="G70" s="197" t="s">
        <v>356</v>
      </c>
      <c r="H70" s="202">
        <v>0</v>
      </c>
    </row>
    <row r="71" spans="1:9" ht="15.75" thickBot="1" x14ac:dyDescent="0.3">
      <c r="H71" s="251">
        <f>SUM(H59:H70)</f>
        <v>24091304.350000001</v>
      </c>
    </row>
    <row r="74" spans="1:9" ht="15.75" thickBot="1" x14ac:dyDescent="0.3"/>
    <row r="75" spans="1:9" ht="15.75" thickBot="1" x14ac:dyDescent="0.3">
      <c r="A75" s="188" t="s">
        <v>0</v>
      </c>
      <c r="B75" s="189" t="s">
        <v>1</v>
      </c>
      <c r="C75" s="189" t="s">
        <v>258</v>
      </c>
      <c r="D75" s="189" t="s">
        <v>259</v>
      </c>
      <c r="E75" s="189" t="s">
        <v>2</v>
      </c>
      <c r="F75" s="189" t="s">
        <v>3</v>
      </c>
      <c r="G75" s="189" t="s">
        <v>260</v>
      </c>
      <c r="H75" s="189" t="s">
        <v>278</v>
      </c>
    </row>
    <row r="76" spans="1:9" ht="26.25" thickBot="1" x14ac:dyDescent="0.3">
      <c r="A76" s="254" t="s">
        <v>157</v>
      </c>
      <c r="B76" s="197" t="s">
        <v>333</v>
      </c>
      <c r="C76" s="197">
        <v>2018</v>
      </c>
      <c r="D76" s="193" t="s">
        <v>262</v>
      </c>
      <c r="E76" s="197" t="s">
        <v>159</v>
      </c>
      <c r="F76" s="197" t="s">
        <v>358</v>
      </c>
      <c r="G76" s="197" t="s">
        <v>161</v>
      </c>
      <c r="H76" s="202">
        <v>24571900</v>
      </c>
      <c r="I76">
        <v>1</v>
      </c>
    </row>
    <row r="77" spans="1:9" ht="26.25" thickBot="1" x14ac:dyDescent="0.3">
      <c r="A77" s="254" t="s">
        <v>157</v>
      </c>
      <c r="B77" s="197" t="s">
        <v>333</v>
      </c>
      <c r="C77" s="197">
        <v>2018</v>
      </c>
      <c r="D77" s="193" t="s">
        <v>262</v>
      </c>
      <c r="E77" s="197" t="s">
        <v>359</v>
      </c>
      <c r="F77" s="197" t="s">
        <v>163</v>
      </c>
      <c r="G77" s="197" t="s">
        <v>164</v>
      </c>
      <c r="H77" s="202">
        <v>13400000</v>
      </c>
      <c r="I77">
        <v>1</v>
      </c>
    </row>
    <row r="78" spans="1:9" ht="26.25" thickBot="1" x14ac:dyDescent="0.3">
      <c r="A78" s="254" t="s">
        <v>157</v>
      </c>
      <c r="B78" s="197" t="s">
        <v>333</v>
      </c>
      <c r="C78" s="197">
        <v>2018</v>
      </c>
      <c r="D78" s="193" t="s">
        <v>269</v>
      </c>
      <c r="E78" s="197" t="s">
        <v>360</v>
      </c>
      <c r="F78" s="197" t="s">
        <v>166</v>
      </c>
      <c r="G78" s="197" t="s">
        <v>167</v>
      </c>
      <c r="H78" s="202">
        <v>15971990</v>
      </c>
      <c r="I78">
        <v>1</v>
      </c>
    </row>
    <row r="79" spans="1:9" ht="26.25" thickBot="1" x14ac:dyDescent="0.3">
      <c r="A79" s="254" t="s">
        <v>157</v>
      </c>
      <c r="B79" s="197" t="s">
        <v>333</v>
      </c>
      <c r="C79" s="197">
        <v>2019</v>
      </c>
      <c r="D79" s="193" t="s">
        <v>262</v>
      </c>
      <c r="E79" s="197" t="s">
        <v>165</v>
      </c>
      <c r="F79" s="197" t="s">
        <v>361</v>
      </c>
      <c r="G79" s="197" t="s">
        <v>362</v>
      </c>
      <c r="H79" s="202">
        <v>0</v>
      </c>
    </row>
    <row r="80" spans="1:9" ht="26.25" thickBot="1" x14ac:dyDescent="0.3">
      <c r="A80" s="254" t="s">
        <v>157</v>
      </c>
      <c r="B80" s="197" t="s">
        <v>333</v>
      </c>
      <c r="C80" s="197">
        <v>2019</v>
      </c>
      <c r="D80" s="193" t="s">
        <v>262</v>
      </c>
      <c r="E80" s="197" t="s">
        <v>363</v>
      </c>
      <c r="F80" s="197" t="s">
        <v>364</v>
      </c>
      <c r="G80" s="197" t="s">
        <v>158</v>
      </c>
      <c r="H80" s="202">
        <v>0</v>
      </c>
    </row>
    <row r="81" spans="1:9" ht="15" customHeight="1" x14ac:dyDescent="0.25">
      <c r="A81" s="279" t="s">
        <v>157</v>
      </c>
      <c r="B81" s="279" t="s">
        <v>333</v>
      </c>
      <c r="C81" s="279">
        <v>2019</v>
      </c>
      <c r="D81" s="263" t="s">
        <v>262</v>
      </c>
      <c r="E81" s="279" t="s">
        <v>365</v>
      </c>
      <c r="F81" s="279" t="s">
        <v>366</v>
      </c>
      <c r="G81" s="279" t="s">
        <v>158</v>
      </c>
      <c r="H81" s="281">
        <v>0</v>
      </c>
    </row>
    <row r="82" spans="1:9" ht="15.75" thickBot="1" x14ac:dyDescent="0.3">
      <c r="A82" s="280"/>
      <c r="B82" s="280"/>
      <c r="C82" s="280"/>
      <c r="D82" s="265"/>
      <c r="E82" s="280"/>
      <c r="F82" s="280"/>
      <c r="G82" s="280"/>
      <c r="H82" s="282"/>
    </row>
    <row r="83" spans="1:9" ht="15" customHeight="1" x14ac:dyDescent="0.25">
      <c r="A83" s="279" t="s">
        <v>157</v>
      </c>
      <c r="B83" s="279" t="s">
        <v>333</v>
      </c>
      <c r="C83" s="279">
        <v>2019</v>
      </c>
      <c r="D83" s="263" t="s">
        <v>262</v>
      </c>
      <c r="E83" s="279" t="s">
        <v>165</v>
      </c>
      <c r="F83" s="279" t="s">
        <v>166</v>
      </c>
      <c r="G83" s="279" t="s">
        <v>158</v>
      </c>
      <c r="H83" s="281">
        <v>0</v>
      </c>
    </row>
    <row r="84" spans="1:9" ht="15.75" thickBot="1" x14ac:dyDescent="0.3">
      <c r="A84" s="280"/>
      <c r="B84" s="280"/>
      <c r="C84" s="280"/>
      <c r="D84" s="265"/>
      <c r="E84" s="280"/>
      <c r="F84" s="280"/>
      <c r="G84" s="280"/>
      <c r="H84" s="282"/>
    </row>
    <row r="85" spans="1:9" ht="141" thickBot="1" x14ac:dyDescent="0.3">
      <c r="A85" s="245" t="s">
        <v>157</v>
      </c>
      <c r="B85" s="197" t="s">
        <v>102</v>
      </c>
      <c r="C85" s="197">
        <v>2018</v>
      </c>
      <c r="D85" s="193" t="s">
        <v>262</v>
      </c>
      <c r="E85" s="197" t="s">
        <v>211</v>
      </c>
      <c r="F85" s="197" t="s">
        <v>367</v>
      </c>
      <c r="G85" s="197" t="s">
        <v>214</v>
      </c>
      <c r="H85" s="202">
        <v>845225.51</v>
      </c>
      <c r="I85">
        <v>1</v>
      </c>
    </row>
    <row r="86" spans="1:9" ht="39" thickBot="1" x14ac:dyDescent="0.3">
      <c r="A86" s="245" t="s">
        <v>157</v>
      </c>
      <c r="B86" s="197" t="s">
        <v>102</v>
      </c>
      <c r="C86" s="197">
        <v>2018</v>
      </c>
      <c r="D86" s="193" t="s">
        <v>262</v>
      </c>
      <c r="E86" s="197" t="s">
        <v>215</v>
      </c>
      <c r="F86" s="197" t="s">
        <v>216</v>
      </c>
      <c r="G86" s="197" t="s">
        <v>368</v>
      </c>
      <c r="H86" s="202">
        <v>823407.75</v>
      </c>
      <c r="I86">
        <v>1</v>
      </c>
    </row>
    <row r="87" spans="1:9" ht="39" thickBot="1" x14ac:dyDescent="0.3">
      <c r="A87" s="245" t="s">
        <v>157</v>
      </c>
      <c r="B87" s="197" t="s">
        <v>102</v>
      </c>
      <c r="C87" s="197">
        <v>2018</v>
      </c>
      <c r="D87" s="193" t="s">
        <v>262</v>
      </c>
      <c r="E87" s="197" t="s">
        <v>219</v>
      </c>
      <c r="F87" s="197" t="s">
        <v>220</v>
      </c>
      <c r="G87" s="197" t="s">
        <v>369</v>
      </c>
      <c r="H87" s="202">
        <v>593419.36</v>
      </c>
      <c r="I87">
        <v>1</v>
      </c>
    </row>
    <row r="88" spans="1:9" ht="39" thickBot="1" x14ac:dyDescent="0.3">
      <c r="A88" s="245" t="s">
        <v>157</v>
      </c>
      <c r="B88" s="197" t="s">
        <v>102</v>
      </c>
      <c r="C88" s="197">
        <v>2018</v>
      </c>
      <c r="D88" s="193" t="s">
        <v>262</v>
      </c>
      <c r="E88" s="197" t="s">
        <v>221</v>
      </c>
      <c r="F88" s="197" t="s">
        <v>222</v>
      </c>
      <c r="G88" s="197" t="s">
        <v>370</v>
      </c>
      <c r="H88" s="202">
        <v>445971.6</v>
      </c>
      <c r="I88">
        <v>1</v>
      </c>
    </row>
    <row r="89" spans="1:9" ht="26.25" thickBot="1" x14ac:dyDescent="0.3">
      <c r="A89" s="245" t="s">
        <v>157</v>
      </c>
      <c r="B89" s="197" t="s">
        <v>102</v>
      </c>
      <c r="C89" s="197">
        <v>2019</v>
      </c>
      <c r="D89" s="193" t="s">
        <v>262</v>
      </c>
      <c r="E89" s="197" t="s">
        <v>371</v>
      </c>
      <c r="F89" s="197" t="s">
        <v>372</v>
      </c>
      <c r="G89" s="197" t="s">
        <v>217</v>
      </c>
      <c r="H89" s="202">
        <v>0</v>
      </c>
    </row>
    <row r="90" spans="1:9" ht="26.25" thickBot="1" x14ac:dyDescent="0.3">
      <c r="A90" s="245" t="s">
        <v>157</v>
      </c>
      <c r="B90" s="197" t="s">
        <v>102</v>
      </c>
      <c r="C90" s="197">
        <v>2019</v>
      </c>
      <c r="D90" s="193" t="s">
        <v>262</v>
      </c>
      <c r="E90" s="197" t="s">
        <v>221</v>
      </c>
      <c r="F90" s="197" t="s">
        <v>373</v>
      </c>
      <c r="G90" s="197" t="s">
        <v>217</v>
      </c>
      <c r="H90" s="202">
        <v>0</v>
      </c>
    </row>
    <row r="91" spans="1:9" ht="26.25" thickBot="1" x14ac:dyDescent="0.3">
      <c r="A91" s="245" t="s">
        <v>157</v>
      </c>
      <c r="B91" s="197" t="s">
        <v>102</v>
      </c>
      <c r="C91" s="197">
        <v>2019</v>
      </c>
      <c r="D91" s="193" t="s">
        <v>262</v>
      </c>
      <c r="E91" s="197" t="s">
        <v>221</v>
      </c>
      <c r="F91" s="197" t="s">
        <v>374</v>
      </c>
      <c r="G91" s="197" t="s">
        <v>217</v>
      </c>
      <c r="H91" s="202">
        <v>0</v>
      </c>
    </row>
    <row r="92" spans="1:9" ht="15.75" thickBot="1" x14ac:dyDescent="0.3">
      <c r="H92" s="251">
        <f>SUM(H76:H91)</f>
        <v>56651914.219999999</v>
      </c>
    </row>
    <row r="95" spans="1:9" ht="15.75" thickBot="1" x14ac:dyDescent="0.3"/>
    <row r="96" spans="1:9" ht="15.75" thickBot="1" x14ac:dyDescent="0.3">
      <c r="A96" s="252" t="s">
        <v>0</v>
      </c>
      <c r="B96" s="253" t="s">
        <v>1</v>
      </c>
      <c r="C96" s="189" t="s">
        <v>258</v>
      </c>
      <c r="D96" s="189" t="s">
        <v>259</v>
      </c>
      <c r="E96" s="253" t="s">
        <v>2</v>
      </c>
      <c r="F96" s="253" t="s">
        <v>3</v>
      </c>
      <c r="G96" s="253" t="s">
        <v>260</v>
      </c>
      <c r="H96" s="189" t="s">
        <v>278</v>
      </c>
    </row>
    <row r="97" spans="1:8" ht="26.25" thickBot="1" x14ac:dyDescent="0.3">
      <c r="A97" s="254" t="s">
        <v>375</v>
      </c>
      <c r="B97" s="197" t="s">
        <v>333</v>
      </c>
      <c r="C97" s="197">
        <v>2019</v>
      </c>
      <c r="D97" s="193" t="s">
        <v>262</v>
      </c>
      <c r="E97" s="197" t="s">
        <v>376</v>
      </c>
      <c r="F97" s="197" t="s">
        <v>377</v>
      </c>
      <c r="G97" s="197" t="s">
        <v>378</v>
      </c>
      <c r="H97" s="202">
        <v>0</v>
      </c>
    </row>
    <row r="98" spans="1:8" ht="26.25" thickBot="1" x14ac:dyDescent="0.3">
      <c r="A98" s="254" t="s">
        <v>375</v>
      </c>
      <c r="B98" s="197" t="s">
        <v>333</v>
      </c>
      <c r="C98" s="197">
        <v>2019</v>
      </c>
      <c r="D98" s="193" t="s">
        <v>262</v>
      </c>
      <c r="E98" s="197" t="s">
        <v>379</v>
      </c>
      <c r="F98" s="197" t="s">
        <v>380</v>
      </c>
      <c r="G98" s="197" t="s">
        <v>378</v>
      </c>
      <c r="H98" s="202">
        <v>0</v>
      </c>
    </row>
    <row r="99" spans="1:8" ht="26.25" thickBot="1" x14ac:dyDescent="0.3">
      <c r="A99" s="254" t="s">
        <v>375</v>
      </c>
      <c r="B99" s="197" t="s">
        <v>333</v>
      </c>
      <c r="C99" s="197">
        <v>2019</v>
      </c>
      <c r="D99" s="193" t="s">
        <v>262</v>
      </c>
      <c r="E99" s="197" t="s">
        <v>381</v>
      </c>
      <c r="F99" s="197" t="s">
        <v>382</v>
      </c>
      <c r="G99" s="197" t="s">
        <v>378</v>
      </c>
      <c r="H99" s="202">
        <v>0</v>
      </c>
    </row>
    <row r="100" spans="1:8" ht="15.75" thickBot="1" x14ac:dyDescent="0.3">
      <c r="H100" s="251">
        <f>SUM(H97:H99)</f>
        <v>0</v>
      </c>
    </row>
    <row r="107" spans="1:8" x14ac:dyDescent="0.25">
      <c r="H107" s="64">
        <f>+H92+H71+H54+H15</f>
        <v>134748725.24000001</v>
      </c>
    </row>
    <row r="108" spans="1:8" x14ac:dyDescent="0.25">
      <c r="G108" t="s">
        <v>383</v>
      </c>
      <c r="H108" s="64">
        <f>+H107/1.2</f>
        <v>112290604.36666667</v>
      </c>
    </row>
    <row r="109" spans="1:8" x14ac:dyDescent="0.25">
      <c r="A109" t="s">
        <v>385</v>
      </c>
      <c r="B109" s="83">
        <f>+H15</f>
        <v>49471910</v>
      </c>
      <c r="C109">
        <v>5</v>
      </c>
      <c r="G109" s="283">
        <v>0.03</v>
      </c>
      <c r="H109" s="64">
        <f>+H108*0.03</f>
        <v>3368718.1310000001</v>
      </c>
    </row>
    <row r="110" spans="1:8" x14ac:dyDescent="0.25">
      <c r="A110" t="s">
        <v>69</v>
      </c>
      <c r="B110" s="83">
        <f>+H54</f>
        <v>4533596.67</v>
      </c>
      <c r="C110">
        <v>13</v>
      </c>
      <c r="D110">
        <v>6</v>
      </c>
      <c r="G110" t="s">
        <v>384</v>
      </c>
      <c r="H110" s="64">
        <f>+H109*1.2</f>
        <v>4042461.7571999999</v>
      </c>
    </row>
    <row r="111" spans="1:8" x14ac:dyDescent="0.25">
      <c r="A111" t="s">
        <v>386</v>
      </c>
      <c r="B111" s="83">
        <f>+H71</f>
        <v>24091304.350000001</v>
      </c>
      <c r="C111">
        <v>6</v>
      </c>
      <c r="H111" s="260"/>
    </row>
    <row r="112" spans="1:8" x14ac:dyDescent="0.25">
      <c r="A112" t="s">
        <v>387</v>
      </c>
      <c r="B112" s="83">
        <f>+H92</f>
        <v>56651914.219999999</v>
      </c>
      <c r="C112">
        <v>7</v>
      </c>
      <c r="H112" s="64"/>
    </row>
    <row r="113" spans="1:8" x14ac:dyDescent="0.25">
      <c r="H113" s="64">
        <f>+H110*0.75</f>
        <v>3031846.3179000001</v>
      </c>
    </row>
    <row r="116" spans="1:8" x14ac:dyDescent="0.25">
      <c r="A116" t="s">
        <v>388</v>
      </c>
      <c r="B116" s="260">
        <f>+B109+B112</f>
        <v>106123824.22</v>
      </c>
    </row>
    <row r="117" spans="1:8" x14ac:dyDescent="0.25">
      <c r="A117" t="s">
        <v>389</v>
      </c>
      <c r="B117" s="260">
        <f>+B110+B111</f>
        <v>28624901.020000003</v>
      </c>
    </row>
  </sheetData>
  <mergeCells count="31">
    <mergeCell ref="G81:G82"/>
    <mergeCell ref="H81:H82"/>
    <mergeCell ref="A83:A84"/>
    <mergeCell ref="B83:B84"/>
    <mergeCell ref="C83:C84"/>
    <mergeCell ref="D83:D84"/>
    <mergeCell ref="E83:E84"/>
    <mergeCell ref="F83:F84"/>
    <mergeCell ref="G83:G84"/>
    <mergeCell ref="H83:H84"/>
    <mergeCell ref="A81:A82"/>
    <mergeCell ref="B81:B82"/>
    <mergeCell ref="C81:C82"/>
    <mergeCell ref="D81:D82"/>
    <mergeCell ref="E81:E82"/>
    <mergeCell ref="F81:F82"/>
    <mergeCell ref="H8:H11"/>
    <mergeCell ref="A29:A30"/>
    <mergeCell ref="B29:B30"/>
    <mergeCell ref="C29:C30"/>
    <mergeCell ref="D29:D30"/>
    <mergeCell ref="E29:E30"/>
    <mergeCell ref="F29:F30"/>
    <mergeCell ref="G29:G30"/>
    <mergeCell ref="H29:H30"/>
    <mergeCell ref="A8:A11"/>
    <mergeCell ref="B8:B11"/>
    <mergeCell ref="C8:C11"/>
    <mergeCell ref="D8:D11"/>
    <mergeCell ref="E8:E11"/>
    <mergeCell ref="G8:G11"/>
  </mergeCells>
  <pageMargins left="0.70866141732283472" right="0.70866141732283472" top="0.74803149606299213" bottom="0.74803149606299213" header="0.31496062992125984" footer="0.31496062992125984"/>
  <pageSetup paperSize="9" scale="76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 d'action 2018 </vt:lpstr>
      <vt:lpstr>Feuil2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2018-04-02T14:00:37Z</dcterms:modified>
</cp:coreProperties>
</file>